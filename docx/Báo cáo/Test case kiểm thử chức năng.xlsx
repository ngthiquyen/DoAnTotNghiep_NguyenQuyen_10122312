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DoAnTotNghiep_NguyenQuyen_10122312\docx\Báo cáo\"/>
    </mc:Choice>
  </mc:AlternateContent>
  <xr:revisionPtr revIDLastSave="0" documentId="13_ncr:1_{00159B71-746D-444F-8169-052ACE5DF87E}" xr6:coauthVersionLast="36" xr6:coauthVersionMax="36" xr10:uidLastSave="{00000000-0000-0000-0000-000000000000}"/>
  <bookViews>
    <workbookView xWindow="0" yWindow="0" windowWidth="23040" windowHeight="9190" tabRatio="455" firstSheet="2" activeTab="2" xr2:uid="{00000000-000D-0000-FFFF-FFFF00000000}"/>
  </bookViews>
  <sheets>
    <sheet name="TC_DangNhap" sheetId="1" r:id="rId1"/>
    <sheet name="TC_DangKy" sheetId="2" r:id="rId2"/>
    <sheet name="TC_TimKiemSP" sheetId="4" r:id="rId3"/>
    <sheet name="Tổng hợp" sheetId="10" r:id="rId4"/>
    <sheet name="TC_ThanhToan" sheetId="6" r:id="rId5"/>
    <sheet name="TC_SuaTT" sheetId="8" r:id="rId6"/>
    <sheet name="TC_E2E_MuaHang" sheetId="9" r:id="rId7"/>
  </sheets>
  <externalReferences>
    <externalReference r:id="rId8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2" l="1"/>
  <c r="A11" i="2"/>
  <c r="A12" i="2"/>
  <c r="A13" i="2"/>
  <c r="A14" i="2"/>
  <c r="A6" i="9" l="1"/>
  <c r="A7" i="9"/>
  <c r="A8" i="9"/>
  <c r="A9" i="9"/>
  <c r="A10" i="9"/>
  <c r="A11" i="9"/>
  <c r="A12" i="9"/>
  <c r="A13" i="9"/>
  <c r="A14" i="9"/>
  <c r="A15" i="9"/>
  <c r="A5" i="9"/>
  <c r="A9" i="6" l="1"/>
  <c r="A10" i="6"/>
  <c r="A11" i="6"/>
  <c r="A12" i="6"/>
  <c r="A13" i="6"/>
  <c r="A14" i="6"/>
  <c r="A15" i="6"/>
  <c r="H11" i="10"/>
  <c r="I11" i="10"/>
  <c r="G11" i="10"/>
  <c r="E2" i="1" l="1"/>
  <c r="E1" i="1"/>
  <c r="D3" i="1"/>
  <c r="E2" i="2"/>
  <c r="E1" i="2"/>
  <c r="D3" i="4"/>
  <c r="E2" i="4"/>
  <c r="E1" i="4"/>
  <c r="D3" i="8"/>
  <c r="D3" i="6"/>
  <c r="E2" i="8"/>
  <c r="E1" i="8"/>
  <c r="E2" i="6"/>
  <c r="D2" i="6"/>
  <c r="E1" i="6"/>
  <c r="D1" i="6"/>
  <c r="E2" i="9"/>
  <c r="D3" i="9"/>
  <c r="E1" i="9"/>
  <c r="D1" i="9"/>
  <c r="D2" i="9"/>
  <c r="D1" i="8"/>
  <c r="D2" i="8"/>
  <c r="A11" i="8"/>
  <c r="A12" i="8"/>
  <c r="A6" i="6"/>
  <c r="A7" i="6"/>
  <c r="A8" i="6"/>
  <c r="E3" i="9" l="1"/>
  <c r="D1" i="2"/>
  <c r="A6" i="2"/>
  <c r="A7" i="2"/>
  <c r="A8" i="2"/>
  <c r="A9" i="2"/>
  <c r="D3" i="2"/>
  <c r="A6" i="1" l="1"/>
  <c r="A7" i="1"/>
  <c r="A8" i="1"/>
  <c r="A9" i="1"/>
  <c r="A5" i="1"/>
  <c r="A6" i="8" l="1"/>
  <c r="A7" i="8"/>
  <c r="A8" i="8"/>
  <c r="A9" i="8"/>
  <c r="A10" i="8"/>
  <c r="A5" i="8"/>
  <c r="D1" i="1" l="1"/>
  <c r="E3" i="8" l="1"/>
  <c r="A7" i="4"/>
  <c r="A8" i="4"/>
  <c r="A9" i="4"/>
  <c r="A10" i="4"/>
  <c r="A6" i="4" l="1"/>
  <c r="A5" i="4"/>
  <c r="D2" i="2" l="1"/>
  <c r="D2" i="1"/>
  <c r="A5" i="6"/>
  <c r="E3" i="6" s="1"/>
  <c r="A5" i="2"/>
  <c r="E3" i="1" l="1"/>
  <c r="D2" i="4"/>
  <c r="D1" i="4"/>
  <c r="E3" i="4" l="1"/>
  <c r="E3" i="2"/>
</calcChain>
</file>

<file path=xl/sharedStrings.xml><?xml version="1.0" encoding="utf-8"?>
<sst xmlns="http://schemas.openxmlformats.org/spreadsheetml/2006/main" count="464" uniqueCount="169">
  <si>
    <t>To Buglist</t>
  </si>
  <si>
    <t>Module Code</t>
  </si>
  <si>
    <t>Tester</t>
  </si>
  <si>
    <t>ID</t>
  </si>
  <si>
    <t>Note</t>
  </si>
  <si>
    <t>WithDraw</t>
  </si>
  <si>
    <t>Nguyen Thi Quyen</t>
  </si>
  <si>
    <t>Người dùng đã truy cập vào trang web</t>
  </si>
  <si>
    <t>Pass</t>
  </si>
  <si>
    <t>Fail</t>
  </si>
  <si>
    <t xml:space="preserve">Test Case Description   </t>
  </si>
  <si>
    <t xml:space="preserve">Pre -Condition             </t>
  </si>
  <si>
    <t xml:space="preserve">Test Case Procedure                                                      </t>
  </si>
  <si>
    <t xml:space="preserve">Expected Output </t>
  </si>
  <si>
    <t xml:space="preserve">Actual results </t>
  </si>
  <si>
    <t xml:space="preserve">Status </t>
  </si>
  <si>
    <t>Auto</t>
  </si>
  <si>
    <t>Bỏ trống mật khẩu</t>
  </si>
  <si>
    <t>Bỏ trống email</t>
  </si>
  <si>
    <t>Nhập email, sai mật khẩu</t>
  </si>
  <si>
    <t>Email sai, password đúng</t>
  </si>
  <si>
    <t>Email, mật khẩu đúng</t>
  </si>
  <si>
    <t>Test_Report</t>
  </si>
  <si>
    <t>Tìm kiếm sản phẩm theo từ khóa một phần</t>
  </si>
  <si>
    <t>Tìm kiếm với ký tự đặc biệt</t>
  </si>
  <si>
    <t xml:space="preserve">Test Case Description              </t>
  </si>
  <si>
    <t>Trống SDT</t>
  </si>
  <si>
    <t>Trống địa chỉ</t>
  </si>
  <si>
    <t>Đặt hàng thành công</t>
  </si>
  <si>
    <t>Bỏ trống sdt</t>
  </si>
  <si>
    <t>Bỏ trống họ tên</t>
  </si>
  <si>
    <t xml:space="preserve">Expected Output 
</t>
  </si>
  <si>
    <t xml:space="preserve">Actual results 
</t>
  </si>
  <si>
    <t>ScreenShot</t>
  </si>
  <si>
    <t>Email đã sử dụng</t>
  </si>
  <si>
    <t>Mật khẩu &lt; 6 ký tự</t>
  </si>
  <si>
    <t>Tìm kiếm sản phẩm theo mã sản phẩm</t>
  </si>
  <si>
    <t>Tìm kiếm sản phẩm với tên đầy đủ</t>
  </si>
  <si>
    <t>Hệ thống hiện danh sách sản phẩm ngẫu nhiên</t>
  </si>
  <si>
    <t xml:space="preserve">Bỏ trống </t>
  </si>
  <si>
    <t>Hệ thống hiện thông báo "Vui lòng điền vào trường này"</t>
  </si>
  <si>
    <t>Tìm kiếm với từ khóa không có trong sản phẩm</t>
  </si>
  <si>
    <t>Hệ thống không hiện sản phẩm nào</t>
  </si>
  <si>
    <t>Sai số điện thoại &lt;10 số</t>
  </si>
  <si>
    <t>Sai số điện thoại &gt;10 số</t>
  </si>
  <si>
    <t>Hệ thống thông báo "Đơn hàng của bạn đã được gửi đi"</t>
  </si>
  <si>
    <t>Hệ thống thông báo "Vui lòng điền vào trường này"</t>
  </si>
  <si>
    <t>Hệ thống thông báo "Vui lòng nhập ít nhất một số điện thoại bạn đang sử dụng"</t>
  </si>
  <si>
    <t>cập nhật thành công</t>
  </si>
  <si>
    <t>Bỏ trống địa chỉ</t>
  </si>
  <si>
    <t>Số điện thoại &lt; 10 số</t>
  </si>
  <si>
    <t>vị trí dấu '.' sai</t>
  </si>
  <si>
    <t>register_Auto_Test_3_20260519_001508.png</t>
  </si>
  <si>
    <t>Sai số điện thoại chứa ký tự đặc biệt</t>
  </si>
  <si>
    <t>Email thiếu phần sau @</t>
  </si>
  <si>
    <t>Email thiếu phần trước @</t>
  </si>
  <si>
    <t>Email thiếu @</t>
  </si>
  <si>
    <t>Hệ thống thông báo "Vui lòng nhập phần đứng sau @"</t>
  </si>
  <si>
    <t>Hệ thống thông báo "Vui lòng"</t>
  </si>
  <si>
    <t>Hệ thống thông báo "sai vị trí"</t>
  </si>
  <si>
    <t>Hệ thống thông báo "Vui lòng nhập phần đứng trước @"</t>
  </si>
  <si>
    <t>Hệ thống thông báo "Vui lòng nhập bao gồm '@' trong địa chỉ email"</t>
  </si>
  <si>
    <t>Hệ thống thông báo "'.' bị sai vị trí trong '.'"</t>
  </si>
  <si>
    <t>order_Auto_Test_3_20260515_165252.png</t>
  </si>
  <si>
    <t>Số điện thoại chứa ký tự đặc biệt</t>
  </si>
  <si>
    <t>Số điện thoại &gt; 10 số</t>
  </si>
  <si>
    <t>Số điện thoại chứa chữ</t>
  </si>
  <si>
    <t>E2E_login_20260517_213426_5_.png</t>
  </si>
  <si>
    <t>E2E_login_20260517_213426_6.png</t>
  </si>
  <si>
    <t>E2E_login_20260517_213426_7.png</t>
  </si>
  <si>
    <t>E2E_login_20260517_213426_8.png</t>
  </si>
  <si>
    <t xml:space="preserve">Chức năng </t>
  </si>
  <si>
    <t>Đăng ký</t>
  </si>
  <si>
    <t>Đăng nhập</t>
  </si>
  <si>
    <t>Tìm kiếm</t>
  </si>
  <si>
    <t>Đặt hàng</t>
  </si>
  <si>
    <t>E2E Đặt hàng</t>
  </si>
  <si>
    <t>Profile</t>
  </si>
  <si>
    <t>Sai số điện thoại chứa chữ</t>
  </si>
  <si>
    <t>Số lượng kịch bản</t>
  </si>
  <si>
    <t>Tổng số</t>
  </si>
  <si>
    <t>Người dùng đã có tài khoản, chưa đăng nhập và đang ở trang đăng nhập.</t>
  </si>
  <si>
    <t xml:space="preserve">Thông báo lỗi và yêu cầu nhập lại. "Tài khoản hoặc mật khẩu không chính xác"
</t>
  </si>
  <si>
    <t xml:space="preserve">Thông báo lỗi và yêu cầu nhập lại. "Vui lòng điền vào trường này"
</t>
  </si>
  <si>
    <t xml:space="preserve">Chuyển hướng đến trang chủ
Cập nhật tên tài khoản </t>
  </si>
  <si>
    <t>Chuyển hướng đến trang chủ
Cập nhật "Tài khoản"</t>
  </si>
  <si>
    <t>Xác nhận mật khẩu không khớp với mật khẩu</t>
  </si>
  <si>
    <t>Bỏ trống xác nhận mật khẩu</t>
  </si>
  <si>
    <t>Email thiếu sau @</t>
  </si>
  <si>
    <t>Email thiếu trước @</t>
  </si>
  <si>
    <t>Vị trí dấu '.' sai</t>
  </si>
  <si>
    <t>Người dùng chưa có tài khoản để đăng nhập vào hệ thống, đang ở trang đăng ký</t>
  </si>
  <si>
    <t xml:space="preserve">B1: Nhập email đã đăng ký trước
B2: Nhập mật khẩu và xác nhận mật khẩu
B3: Nhấn "Đăng ký" </t>
  </si>
  <si>
    <t xml:space="preserve">B1: Nhập email, xác nhận mật khẩu hợp lệ
B2: Nhập mật khẩu &lt;6 kí tự
B3: Nhấn "Đăng ký" </t>
  </si>
  <si>
    <t xml:space="preserve">B1: Nhập email, mật khẩu
B2: Nhập xác nhận mật khẩu khác mật khẩu
B3: Nhấn "Đăng ký" </t>
  </si>
  <si>
    <t xml:space="preserve">B1: Bỏ trống email
B2: Nhập mật khẩu, xác nhận mật khẩu hợp lệ
B3: Nhấn "Đăng ký" </t>
  </si>
  <si>
    <t xml:space="preserve">B1: Nhập email, xác nhận mật khẩu
B2: Bỏ trống mật khẩu
B3: Nhấn "Đăng ký" </t>
  </si>
  <si>
    <t xml:space="preserve">B1: Nhập email, mật khẩu
B2: Bỏ trống xác nhận mật khẩu
B3: Nhấn "Đăng ký" </t>
  </si>
  <si>
    <t xml:space="preserve">B1: Nhập email thiếu @
B2: Nhập mật khẩu và xác nhận mật khẩu
B3: Nhấn "Đăng ký" </t>
  </si>
  <si>
    <t xml:space="preserve">B1: Nhập email thiếu sau @
B2: Nhập mật khẩu và xác nhận mật khẩu
B3: Nhấn "Đăng ký" </t>
  </si>
  <si>
    <t xml:space="preserve">B1: Nhập email thiếu trước @
B2: Nhập mật khẩu và xác nhận mật khẩu
B3: Nhấn "Đăng ký" </t>
  </si>
  <si>
    <t xml:space="preserve">B1: Nhập email sai vị trí dấu '.'
B2: Nhập mật khẩu và xác nhận mật khẩu
B3: Nhấn "Đăng ký" </t>
  </si>
  <si>
    <t>Thông báo lỗi "Email đã được sử dụng"</t>
  </si>
  <si>
    <t>Thông báo lỗi "Mật khẩu tối thiểu phải có 6 ký tự"</t>
  </si>
  <si>
    <t>Thông báo lỗi "Xác nhận mật khẩu không khớp với mật khẩu"</t>
  </si>
  <si>
    <t>Thông báo lỗi "Vui lòng điền vào trường này"</t>
  </si>
  <si>
    <t>Thông báo "Vui lòng"</t>
  </si>
  <si>
    <t>Thông báo lỗi "'.' bị sử dụng sai vị trí trong '.' "</t>
  </si>
  <si>
    <t>Đăng ký thành công</t>
  </si>
  <si>
    <t>Thông báo "sai vị trí"</t>
  </si>
  <si>
    <t>B1: Nhập Email hợp lệ
B2: Nhập password
B3: Nhấn "Đăng nhập"</t>
  </si>
  <si>
    <t>B1: Nhập Email chưa tồn tại
B2: Nhập password
B3: Nhấn "Đăng nhập"</t>
  </si>
  <si>
    <t>B1: Nhập Email: tuyetmai99@gmail.com
B2: Trống password
B3: Nhấn "Đăng nhập"</t>
  </si>
  <si>
    <t>B1: Bỏ trống Email
B2: Nhập password
B3: Nhấn "Đăng nhập"</t>
  </si>
  <si>
    <t>B1: Nhập Email hợp lệ
B2: Nhập password hợp lệ
B3: Nhấn "Đăng nhập"</t>
  </si>
  <si>
    <t>Hệ thống hiện danh sách sản phẩm chứa từ khóa</t>
  </si>
  <si>
    <t xml:space="preserve">Hệ thống hiện sản phẩm chứa từ khóa </t>
  </si>
  <si>
    <t>Hiển thị sản phẩm có tên chuẩn</t>
  </si>
  <si>
    <t>Trống số điện thoại</t>
  </si>
  <si>
    <t>Người dùng truy cập vào trang web và thêm sản phẩm từ trang chủ vào giỏ hàng</t>
  </si>
  <si>
    <t>B1: Click vào thanh tìm kiếm
B2: Nhập từ khóa 1 phần
B3: Nhấn Enter hoặc biểu tượng tìm kiếm</t>
  </si>
  <si>
    <t>B1: Click vào thanh tìm kiếm
B2: Nhập: ELA301 
B3: Nhấn Enter hoặc biểu tượng tìm kiếm</t>
  </si>
  <si>
    <t>B1: Click vào thanh tìm kiếm
B2: Nhập tên đầy đủ
B3: Nhấn Enter hoặc biểu tượng tìm kiếm</t>
  </si>
  <si>
    <t>B1: Click vào thanh tìm kiếm
B2: Nhập ký hiệu đặc biệt
B3: Nhấn Enter hoặc biểu tượng tìm kiếm</t>
  </si>
  <si>
    <t>B1: Click vào thanh tìm kiếm
B2: Bỏ trống 
B3: Nhấn Enter hoặc biểu tượng tìm kiếm</t>
  </si>
  <si>
    <t>B1: Click vào thanh tìm kiếm
B2: Nhập từ không có trong sản phẩm
B3: Nhấn Enter hoặc biểu tượng tìm kiếm</t>
  </si>
  <si>
    <t xml:space="preserve">B1: Nhập họ tên, email, địa chỉ, ghi chú hợp lệ
B2: Nhập số điện thoại &lt;10 số
B3: Nhấn "Thanh toán" 
</t>
  </si>
  <si>
    <t xml:space="preserve">B1: Nhập họ tên, email, địa chỉ, ghi chú hợp lệ
B2: Nhập số điện thoại &gt;10 số
B3: Nhấn "Thanh toán" 
</t>
  </si>
  <si>
    <t xml:space="preserve">B1: Nhập họ tên, email, địa chỉ, ghi chú hợp lệ
B2: Nhập số điện thoại chứa ký tự đặc biệt
B3: Nhấn "Thanh toán" 
</t>
  </si>
  <si>
    <t xml:space="preserve">B1: Nhập họ tên, email, địa chỉ, ghi chú hợp lệ
B2: Nhập số điện thoại chứa chữ
B3: Nhấn "Thanh toán" 
</t>
  </si>
  <si>
    <t xml:space="preserve">B1: Nhập họ tên, email, địa chỉ, ghi chú hợp lệ
B2: Bỏ trống số điện thoại 
B3: Nhấn "Thanh toán" 
</t>
  </si>
  <si>
    <t xml:space="preserve">B1: Nhập họ tên, số điện thoại, email, ghi chú hợp lệ
B2: Bỏ trống địa chỉ
B3: Nhấn "Thanh toán" 
</t>
  </si>
  <si>
    <t xml:space="preserve">B1: Nhập họ tên, số điện thoại, địa chỉ, ghi chú hợp lệ
B2: Nhập email thiếu sau @
B3: Nhấn "Thanh toán" 
</t>
  </si>
  <si>
    <t xml:space="preserve">B1: Nhập họ tên, số điện thoại, địa chỉ, ghi chú hợp lệ
B2: Nhập email thiếu trước @
B3: Nhấn "Thanh toán" 
</t>
  </si>
  <si>
    <t xml:space="preserve">B1: Nhập họ tên, số điện thoại, địa chỉ, ghi chú hợp lệ
B2: Nhập email thiếu @
B3: Nhấn "Thanh toán" 
</t>
  </si>
  <si>
    <t xml:space="preserve">B1: Nhập họ tên, số điện thoại, địa chỉ, ghi chú hợp lệ
B2: Nhập email sai vị trí dấu '.'
B3: Nhấn "Thanh toán" 
</t>
  </si>
  <si>
    <t xml:space="preserve">
Hệ thống thông báo "Cập nhật thông tin tài khoản thành công"</t>
  </si>
  <si>
    <t xml:space="preserve">
Hệ thống thông báo "Vui lòng nhập ít nhất một số điện thoại bạn đang sử dụng"</t>
  </si>
  <si>
    <t>Người dùng đã đăng nhập vào trang web và đang ở trong thông tin tài khoản</t>
  </si>
  <si>
    <t>B1: Nhập Họ và tên, số điện thoại, địa chỉ hợp lệ
B2: Nhấn Cập nhật</t>
  </si>
  <si>
    <t>B1: Nhập Họ và tên, địa chỉ hợp lệ
B2: Bỏ trống số điện thoại
B3: Nhấn Cập nhật</t>
  </si>
  <si>
    <t>B1: Nhập số điện thoại, địa chỉ hợp lệ
B2: Bỏ trống Họ và tên
B3: Nhấn Cập nhật</t>
  </si>
  <si>
    <t>B1: Nhập Họ và tên, địa chỉ hợp lệ
B2: Bỏ trống địa chỉ hợp lệ
B3: Nhấn Cập nhật</t>
  </si>
  <si>
    <t>B1: Nhập Họ và tên, địa chỉ hợp lệ
B2: Nhập số điện thoại chứa ký tự đặc biệt
B3: Nhấn Cập nhật</t>
  </si>
  <si>
    <t>B1: Nhập Họ và tên, địa chỉ hợp lệ
B2: Nhập số điện thoại &lt; 10 số
B3: Nhấn Cập nhật</t>
  </si>
  <si>
    <t>B1: Nhập Họ và tên, địa chỉ hợp lệ
B2: Nhập số điện thoại &gt;10 số
B3: Nhấn Cập nhật</t>
  </si>
  <si>
    <t>B1: Nhập Họ và tên, địa chỉ hợp lệ
B2: Nhập số điện thoại chứ chữ
B3: Nhấn Cập nhật</t>
  </si>
  <si>
    <t xml:space="preserve">
Hệ thống thông báo "Đơn hàng của bạn đã được gửi đi"</t>
  </si>
  <si>
    <t xml:space="preserve">
Hệ thống thông báo "Vui lòng nhập ít nhất một số điện thoại bạn đang sử dụng"</t>
  </si>
  <si>
    <t xml:space="preserve">
Hệ thống thông báo "Vui lòng điền vào trường này"</t>
  </si>
  <si>
    <t xml:space="preserve">
Hệ thống thông báo "Vui lòng nhập phần đứng sau @"</t>
  </si>
  <si>
    <t xml:space="preserve">
Hệ thống thông báo "Vui lòng"</t>
  </si>
  <si>
    <t xml:space="preserve">
Hệ thống thông báo "Vui lòng nhập phần đứng trước @"</t>
  </si>
  <si>
    <t xml:space="preserve">
Hệ thống thông báo "Vui lòng nhập bao gồm '@' trong địa chỉ email"</t>
  </si>
  <si>
    <t xml:space="preserve">
Hệ thống thông báo "'.' bị sai vị trí trong '.'"</t>
  </si>
  <si>
    <t xml:space="preserve">
Hệ thống thông báo "sai vị trí"</t>
  </si>
  <si>
    <t xml:space="preserve">B1: Nhập họ tên, số điện thoại, địa chỉ, ghi chú hợp lệ
B2: Nhập email thiếu @
B3: Nhấn "Thanh toán" </t>
  </si>
  <si>
    <t xml:space="preserve">B1: Nhập họ tên, số điện thoại, địa chỉ, ghi chú hợp lệ
B2: Nhập email sai vị trí dấu '.'
B3: Nhấn "Thanh toán" </t>
  </si>
  <si>
    <t xml:space="preserve">B1: Nhập họ tên, số điện thoại, địa chỉ, ghi chú hợp lệ
B2: Nhập email thiếu trước @
B3: Nhấn "Thanh toán" </t>
  </si>
  <si>
    <t xml:space="preserve">B1: Nhập họ tên, số điện thoại, địa chỉ, ghi chú hợp lệ
B2: Nhập email thiếu sau @
B3: Nhấn "Thanh toán" </t>
  </si>
  <si>
    <t xml:space="preserve">B1: Nhập họ tên, số điện thoại, email, ghi chú hợp lệ
B2: Bỏ trống địa chỉ
B3: Nhấn "Thanh toán" </t>
  </si>
  <si>
    <t xml:space="preserve">B1: Nhập họ tên, email, địa chỉ, ghi chú hợp lệ
B2: Bỏ trống số điện thoại 
B3: Nhấn "Thanh toán" </t>
  </si>
  <si>
    <t xml:space="preserve">B1: Nhập họ tên, email, địa chỉ, ghi chú hợp lệ
B2: Nhập số điện thoại chứa chữ
B3: Nhấn "Thanh toán" </t>
  </si>
  <si>
    <t xml:space="preserve">B1: Nhập họ tên, email, địa chỉ, ghi chú hợp lệ
B2: Nhập số điện thoại chứa ký tự đặc biệt
B3: Nhấn "Thanh toán" </t>
  </si>
  <si>
    <t xml:space="preserve">B1: Nhập họ tên, email, địa chỉ, ghi chú hợp lệ
B2: Nhập số điện thoại &gt;10 số
B3: Nhấn "Thanh toán" </t>
  </si>
  <si>
    <t xml:space="preserve">B1: Nhập họ tên, email, địa chỉ, ghi chú hợp lệ
B2: Nhập số điện thoại &lt;10 số
B3: Nhấn "Thanh toán" </t>
  </si>
  <si>
    <t xml:space="preserve">B1: Nhập họ tên, số điện thoại, email, địa chỉ, ghi chú hợp lệ
B2: Nhấn "Thanh toán" </t>
  </si>
  <si>
    <t xml:space="preserve">B1: Nhập họ tên, số điện thoại, email, địa chỉ, ghi chú hợp lệ
B2: Nhấn "Thanh toán" 
</t>
  </si>
  <si>
    <t>Người dùng đã đăng nhập tài khoản, tìm kiếm và thêm sản phẩm vào giỏ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</si>
</sst>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ＭＳ Ｐゴシック"/>
      <family val="2"/>
      <charset val="128"/>
    </font>
    <font>
      <u/>
      <sz val="11"/>
      <color indexed="12"/>
      <name val="ＭＳ Ｐゴシック"/>
      <family val="3"/>
      <charset val="128"/>
    </font>
    <font>
      <b/>
      <u/>
      <sz val="8"/>
      <color indexed="12"/>
      <name val="Tahoma"/>
      <family val="2"/>
    </font>
    <font>
      <sz val="11"/>
      <name val="ＭＳ Ｐゴシック"/>
      <family val="2"/>
      <charset val="128"/>
    </font>
    <font>
      <sz val="8"/>
      <name val="Tahoma"/>
      <family val="2"/>
    </font>
    <font>
      <b/>
      <sz val="8"/>
      <name val="Tahoma"/>
      <family val="2"/>
    </font>
    <font>
      <b/>
      <sz val="8"/>
      <color indexed="9"/>
      <name val="Tahoma"/>
      <family val="2"/>
    </font>
    <font>
      <sz val="10"/>
      <name val="Arial"/>
      <family val="2"/>
    </font>
    <font>
      <u/>
      <sz val="11"/>
      <color rgb="FFFF0000"/>
      <name val="Calibri"/>
      <family val="2"/>
      <scheme val="minor"/>
    </font>
    <font>
      <u/>
      <sz val="11"/>
      <color indexed="12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3" fillId="0" borderId="0"/>
    <xf numFmtId="0" fontId="7" fillId="0" borderId="0"/>
  </cellStyleXfs>
  <cellXfs count="48">
    <xf numFmtId="0" fontId="0" fillId="0" borderId="0" xfId="0"/>
    <xf numFmtId="0" fontId="4" fillId="0" borderId="0" xfId="0" applyFont="1"/>
    <xf numFmtId="0" fontId="4" fillId="0" borderId="0" xfId="0" applyFont="1" applyFill="1"/>
    <xf numFmtId="0" fontId="4" fillId="0" borderId="0" xfId="0" applyFont="1" applyAlignment="1">
      <alignment wrapText="1"/>
    </xf>
    <xf numFmtId="0" fontId="2" fillId="2" borderId="1" xfId="1" applyFont="1" applyFill="1" applyBorder="1" applyAlignment="1">
      <alignment horizontal="left" vertical="center" wrapText="1"/>
    </xf>
    <xf numFmtId="0" fontId="4" fillId="2" borderId="1" xfId="0" applyNumberFormat="1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2" applyFont="1" applyFill="1" applyBorder="1" applyAlignment="1">
      <alignment horizontal="left" vertical="center" wrapText="1"/>
    </xf>
    <xf numFmtId="0" fontId="4" fillId="2" borderId="1" xfId="2" applyFont="1" applyFill="1" applyBorder="1" applyAlignment="1">
      <alignment horizontal="left" vertical="center" wrapText="1"/>
    </xf>
    <xf numFmtId="2" fontId="4" fillId="2" borderId="0" xfId="0" applyNumberFormat="1" applyFont="1" applyFill="1" applyBorder="1" applyAlignment="1">
      <alignment vertical="center" wrapText="1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2" xfId="0" applyFont="1" applyFill="1" applyBorder="1" applyAlignment="1">
      <alignment vertical="center"/>
    </xf>
    <xf numFmtId="0" fontId="4" fillId="0" borderId="0" xfId="0" applyFont="1" applyFill="1" applyAlignment="1">
      <alignment vertical="center" wrapText="1"/>
    </xf>
    <xf numFmtId="0" fontId="9" fillId="0" borderId="0" xfId="1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vertical="center" wrapText="1"/>
    </xf>
    <xf numFmtId="0" fontId="5" fillId="2" borderId="3" xfId="2" applyFont="1" applyFill="1" applyBorder="1" applyAlignment="1">
      <alignment horizontal="left" vertical="center" wrapText="1"/>
    </xf>
    <xf numFmtId="0" fontId="4" fillId="2" borderId="3" xfId="0" applyNumberFormat="1" applyFont="1" applyFill="1" applyBorder="1" applyAlignment="1">
      <alignment horizontal="left" vertical="center" wrapText="1"/>
    </xf>
    <xf numFmtId="2" fontId="4" fillId="2" borderId="3" xfId="0" applyNumberFormat="1" applyFont="1" applyFill="1" applyBorder="1" applyAlignment="1">
      <alignment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 wrapText="1"/>
    </xf>
    <xf numFmtId="0" fontId="6" fillId="3" borderId="5" xfId="2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wrapText="1"/>
    </xf>
    <xf numFmtId="0" fontId="4" fillId="0" borderId="4" xfId="0" quotePrefix="1" applyFont="1" applyFill="1" applyBorder="1" applyAlignment="1">
      <alignment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8" fillId="0" borderId="4" xfId="1" applyFont="1" applyBorder="1" applyAlignment="1">
      <alignment vertical="center"/>
    </xf>
    <xf numFmtId="0" fontId="4" fillId="5" borderId="4" xfId="0" applyFont="1" applyFill="1" applyBorder="1" applyAlignment="1">
      <alignment vertical="center" wrapText="1"/>
    </xf>
    <xf numFmtId="0" fontId="4" fillId="0" borderId="4" xfId="0" applyFont="1" applyFill="1" applyBorder="1"/>
    <xf numFmtId="0" fontId="4" fillId="0" borderId="4" xfId="0" applyFont="1" applyBorder="1"/>
    <xf numFmtId="0" fontId="8" fillId="0" borderId="4" xfId="1" applyFont="1" applyBorder="1" applyAlignment="1">
      <alignment wrapText="1"/>
    </xf>
    <xf numFmtId="0" fontId="10" fillId="0" borderId="4" xfId="0" applyFont="1" applyBorder="1"/>
    <xf numFmtId="0" fontId="10" fillId="6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10" fillId="7" borderId="4" xfId="0" applyFont="1" applyFill="1" applyBorder="1" applyAlignment="1">
      <alignment horizontal="center"/>
    </xf>
    <xf numFmtId="0" fontId="10" fillId="0" borderId="4" xfId="0" applyFont="1" applyFill="1" applyBorder="1"/>
    <xf numFmtId="0" fontId="10" fillId="0" borderId="4" xfId="0" applyFont="1" applyFill="1" applyBorder="1" applyAlignment="1">
      <alignment horizontal="center"/>
    </xf>
    <xf numFmtId="0" fontId="10" fillId="8" borderId="4" xfId="0" applyFont="1" applyFill="1" applyBorder="1"/>
    <xf numFmtId="0" fontId="10" fillId="8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3A7D6D71-9535-47B5-9A5E-B65727F82A19}"/>
    <cellStyle name="Normal_Sheet1" xfId="2" xr:uid="{00000000-0005-0000-0000-000002000000}"/>
  </cellStyles>
  <dxfs count="0"/>
  <tableStyles count="0" defaultTableStyle="TableStyleMedium2" defaultPivotStyle="PivotStyleLight16"/>
  <colors>
    <mruColors>
      <color rgb="FF99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CER\Desktop\Sample_Test%20C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\reports\test_report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..\..\screenshots\register_Auto_Test_3_20260519_224011.png" TargetMode="External"/><Relationship Id="rId1" Type="http://schemas.openxmlformats.org/officeDocument/2006/relationships/hyperlink" Target="..\reports\test_report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..\reports\test_report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..\..\screenshots\order_Auto_Test_3_20260519_234035.png" TargetMode="External"/><Relationship Id="rId1" Type="http://schemas.openxmlformats.org/officeDocument/2006/relationships/hyperlink" Target="..\reports\test_report.xlsx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..\..\screenshots\E2E_login_20260517_213426_6_20260520_015640.png" TargetMode="External"/><Relationship Id="rId7" Type="http://schemas.openxmlformats.org/officeDocument/2006/relationships/printerSettings" Target="../printerSettings/printerSettings6.bin"/><Relationship Id="rId2" Type="http://schemas.openxmlformats.org/officeDocument/2006/relationships/hyperlink" Target="..\..\screenshots\E2E_login_20260517_213426_5_20260520_015622.png" TargetMode="External"/><Relationship Id="rId1" Type="http://schemas.openxmlformats.org/officeDocument/2006/relationships/hyperlink" Target="..\reports\test_report.xlsx" TargetMode="External"/><Relationship Id="rId6" Type="http://schemas.openxmlformats.org/officeDocument/2006/relationships/hyperlink" Target="..\screenshots\E2E_login_20260517_213426_8_20260519_030623.png" TargetMode="External"/><Relationship Id="rId5" Type="http://schemas.openxmlformats.org/officeDocument/2006/relationships/hyperlink" Target="..\..\screenshots\E2E_login_20260517_213426_8_20260520_015718.png" TargetMode="External"/><Relationship Id="rId4" Type="http://schemas.openxmlformats.org/officeDocument/2006/relationships/hyperlink" Target="..\..\screenshots\E2E_login_20260517_213426_7_20260520_015701.p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..\..\screenshots\E2E_login_search_order_20260514_124712_3_20260520_003040.png" TargetMode="External"/><Relationship Id="rId1" Type="http://schemas.openxmlformats.org/officeDocument/2006/relationships/hyperlink" Target="..\reports\test_repo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zoomScaleNormal="100" workbookViewId="0">
      <selection activeCell="A4" sqref="A4:E9"/>
    </sheetView>
  </sheetViews>
  <sheetFormatPr defaultColWidth="9" defaultRowHeight="10"/>
  <cols>
    <col min="1" max="1" width="11.7265625" style="1" bestFit="1" customWidth="1"/>
    <col min="2" max="2" width="18.54296875" style="3" bestFit="1" customWidth="1"/>
    <col min="3" max="3" width="18" style="3" customWidth="1"/>
    <col min="4" max="4" width="33.36328125" style="3" bestFit="1" customWidth="1"/>
    <col min="5" max="6" width="30.36328125" style="3" customWidth="1"/>
    <col min="7" max="7" width="9.81640625" style="1" bestFit="1" customWidth="1"/>
    <col min="8" max="8" width="6.36328125" style="1" customWidth="1"/>
    <col min="9" max="16384" width="9" style="1"/>
  </cols>
  <sheetData>
    <row r="1" spans="1:8" ht="14.5">
      <c r="A1" s="18" t="s">
        <v>22</v>
      </c>
      <c r="B1" s="4" t="s">
        <v>0</v>
      </c>
      <c r="C1" s="4"/>
      <c r="D1" s="5" t="str">
        <f>"Pass: "&amp;COUNTIF(G5:G9,"Pass")</f>
        <v>Pass: 5</v>
      </c>
      <c r="E1" s="6" t="str">
        <f>"Untested: "&amp;COUNTIF(G5:G9,"Untest")</f>
        <v>Untested: 0</v>
      </c>
      <c r="F1" s="7"/>
      <c r="G1" s="7"/>
      <c r="H1" s="13"/>
    </row>
    <row r="2" spans="1:8">
      <c r="A2" s="9" t="s">
        <v>1</v>
      </c>
      <c r="B2" s="10" t="s">
        <v>5</v>
      </c>
      <c r="C2" s="10"/>
      <c r="D2" s="5" t="str">
        <f>"Fail: "&amp;COUNTIF(G5:G6,"Fail")</f>
        <v>Fail: 0</v>
      </c>
      <c r="E2" s="6" t="str">
        <f>"N/A: "&amp;COUNTIF(G5:G9,"N/A")</f>
        <v>N/A: 0</v>
      </c>
      <c r="F2" s="7"/>
      <c r="G2" s="7"/>
      <c r="H2" s="13"/>
    </row>
    <row r="3" spans="1:8" ht="12.75" customHeight="1">
      <c r="A3" s="20" t="s">
        <v>2</v>
      </c>
      <c r="B3" s="20" t="s">
        <v>6</v>
      </c>
      <c r="C3" s="20"/>
      <c r="D3" s="21" t="str">
        <f>"Percent Complete: "&amp;ROUND((COUNTIF(G5:G9,"Pass")*100)/((COUNTA($A$5:$A$9))-COUNTIF(G5:G9,"N/A")),2)&amp;"%"</f>
        <v>Percent Complete: 100%</v>
      </c>
      <c r="E3" s="22" t="str">
        <f>"Number of cases: "&amp;(COUNTA($A$5:$A$9))</f>
        <v>Number of cases: 5</v>
      </c>
      <c r="F3" s="11"/>
      <c r="G3" s="11"/>
      <c r="H3" s="13"/>
    </row>
    <row r="4" spans="1:8" ht="28.4" customHeight="1">
      <c r="A4" s="23" t="s">
        <v>3</v>
      </c>
      <c r="B4" s="23" t="s">
        <v>10</v>
      </c>
      <c r="C4" s="23" t="s">
        <v>11</v>
      </c>
      <c r="D4" s="23" t="s">
        <v>12</v>
      </c>
      <c r="E4" s="23" t="s">
        <v>13</v>
      </c>
      <c r="F4" s="23" t="s">
        <v>14</v>
      </c>
      <c r="G4" s="23" t="s">
        <v>15</v>
      </c>
      <c r="H4" s="23" t="s">
        <v>4</v>
      </c>
    </row>
    <row r="5" spans="1:8" ht="40">
      <c r="A5" s="24" t="str">
        <f>"[DangNhap - " &amp; TEXT(ROW(A1), "00") &amp; "]"</f>
        <v>[DangNhap - 01]</v>
      </c>
      <c r="B5" s="25" t="s">
        <v>19</v>
      </c>
      <c r="C5" s="25" t="s">
        <v>81</v>
      </c>
      <c r="D5" s="19" t="s">
        <v>110</v>
      </c>
      <c r="E5" s="19" t="s">
        <v>82</v>
      </c>
      <c r="F5" s="19" t="s">
        <v>82</v>
      </c>
      <c r="G5" s="24" t="s">
        <v>8</v>
      </c>
      <c r="H5" s="26" t="s">
        <v>16</v>
      </c>
    </row>
    <row r="6" spans="1:8" ht="40">
      <c r="A6" s="24" t="str">
        <f t="shared" ref="A6:A9" si="0">"[DangNhap - " &amp; TEXT(ROW(A2), "00") &amp; "]"</f>
        <v>[DangNhap - 02]</v>
      </c>
      <c r="B6" s="27" t="s">
        <v>20</v>
      </c>
      <c r="C6" s="25" t="s">
        <v>81</v>
      </c>
      <c r="D6" s="19" t="s">
        <v>111</v>
      </c>
      <c r="E6" s="19" t="s">
        <v>82</v>
      </c>
      <c r="F6" s="19" t="s">
        <v>82</v>
      </c>
      <c r="G6" s="24" t="s">
        <v>8</v>
      </c>
      <c r="H6" s="26" t="s">
        <v>16</v>
      </c>
    </row>
    <row r="7" spans="1:8" ht="40">
      <c r="A7" s="24" t="str">
        <f t="shared" si="0"/>
        <v>[DangNhap - 03]</v>
      </c>
      <c r="B7" s="28" t="s">
        <v>17</v>
      </c>
      <c r="C7" s="25" t="s">
        <v>81</v>
      </c>
      <c r="D7" s="19" t="s">
        <v>112</v>
      </c>
      <c r="E7" s="19" t="s">
        <v>83</v>
      </c>
      <c r="F7" s="19" t="s">
        <v>83</v>
      </c>
      <c r="G7" s="24" t="s">
        <v>8</v>
      </c>
      <c r="H7" s="26" t="s">
        <v>16</v>
      </c>
    </row>
    <row r="8" spans="1:8" ht="40">
      <c r="A8" s="24" t="str">
        <f t="shared" si="0"/>
        <v>[DangNhap - 04]</v>
      </c>
      <c r="B8" s="25" t="s">
        <v>18</v>
      </c>
      <c r="C8" s="25" t="s">
        <v>81</v>
      </c>
      <c r="D8" s="19" t="s">
        <v>113</v>
      </c>
      <c r="E8" s="19" t="s">
        <v>83</v>
      </c>
      <c r="F8" s="19" t="s">
        <v>83</v>
      </c>
      <c r="G8" s="24" t="s">
        <v>8</v>
      </c>
      <c r="H8" s="26" t="s">
        <v>16</v>
      </c>
    </row>
    <row r="9" spans="1:8" ht="40">
      <c r="A9" s="24" t="str">
        <f t="shared" si="0"/>
        <v>[DangNhap - 05]</v>
      </c>
      <c r="B9" s="28" t="s">
        <v>21</v>
      </c>
      <c r="C9" s="25" t="s">
        <v>81</v>
      </c>
      <c r="D9" s="19" t="s">
        <v>114</v>
      </c>
      <c r="E9" s="19" t="s">
        <v>84</v>
      </c>
      <c r="F9" s="19" t="s">
        <v>85</v>
      </c>
      <c r="G9" s="24" t="s">
        <v>8</v>
      </c>
      <c r="H9" s="26" t="s">
        <v>16</v>
      </c>
    </row>
    <row r="10" spans="1:8">
      <c r="A10" s="14"/>
      <c r="B10" s="8"/>
      <c r="C10" s="8"/>
      <c r="D10" s="8"/>
      <c r="E10" s="12"/>
      <c r="F10" s="12"/>
      <c r="G10" s="13"/>
      <c r="H10" s="13"/>
    </row>
    <row r="11" spans="1:8">
      <c r="A11" s="14"/>
      <c r="E11" s="12"/>
      <c r="F11" s="12"/>
    </row>
  </sheetData>
  <sheetProtection selectLockedCells="1" selectUnlockedCells="1"/>
  <dataValidations count="1">
    <dataValidation type="list" allowBlank="1" showInputMessage="1" showErrorMessage="1" sqref="G5:G9" xr:uid="{1B57CD1F-9A78-40BC-81BE-C5AF03C09E7D}">
      <formula1>"Pass,Fail"</formula1>
    </dataValidation>
  </dataValidations>
  <hyperlinks>
    <hyperlink ref="B1" location="BugList!A1" display="To Buglist" xr:uid="{00000000-0004-0000-0000-000001000000}"/>
    <hyperlink ref="A1" r:id="rId1" xr:uid="{00000000-0004-0000-0000-000000000000}"/>
  </hyperlink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2"/>
  <headerFooter alignWithMargins="0">
    <oddHeader>&amp;C&amp;"Times New Roman,Chuẩn"&amp;12&amp;A</oddHeader>
    <oddFooter>&amp;C&amp;"Times New Roman,Chuẩn"&amp;12Trang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F83A7-E3CF-42CA-A136-CBA0E91CF224}">
  <dimension ref="A1:I14"/>
  <sheetViews>
    <sheetView topLeftCell="C5" zoomScaleNormal="100" workbookViewId="0">
      <selection activeCell="A4" sqref="A4:E14"/>
    </sheetView>
  </sheetViews>
  <sheetFormatPr defaultColWidth="9" defaultRowHeight="10"/>
  <cols>
    <col min="1" max="1" width="10.90625" style="1" bestFit="1" customWidth="1"/>
    <col min="2" max="2" width="17.7265625" style="1" bestFit="1" customWidth="1"/>
    <col min="3" max="3" width="20.54296875" style="1" customWidth="1"/>
    <col min="4" max="4" width="31.26953125" style="1" bestFit="1" customWidth="1"/>
    <col min="5" max="6" width="30.36328125" style="1" customWidth="1"/>
    <col min="7" max="7" width="9.6328125" style="1" customWidth="1"/>
    <col min="8" max="8" width="7.90625" style="1" customWidth="1"/>
    <col min="9" max="9" width="21" style="1" customWidth="1"/>
    <col min="10" max="16384" width="9" style="1"/>
  </cols>
  <sheetData>
    <row r="1" spans="1:9" ht="14.5">
      <c r="A1" s="18" t="s">
        <v>22</v>
      </c>
      <c r="B1" s="4" t="s">
        <v>0</v>
      </c>
      <c r="C1" s="4"/>
      <c r="D1" s="5" t="str">
        <f>"Pass: "&amp;COUNTIF(G5:G14,"Pass")</f>
        <v>Pass: 9</v>
      </c>
      <c r="E1" s="6" t="str">
        <f>"Untested: "&amp;COUNTIF(G5:G14,"Untest")</f>
        <v>Untested: 0</v>
      </c>
      <c r="F1" s="7"/>
      <c r="G1" s="7"/>
      <c r="H1" s="13"/>
    </row>
    <row r="2" spans="1:9">
      <c r="A2" s="9" t="s">
        <v>1</v>
      </c>
      <c r="B2" s="10" t="s">
        <v>5</v>
      </c>
      <c r="C2" s="10"/>
      <c r="D2" s="5" t="str">
        <f>"Fail: "&amp;COUNTIF(G5:G13,"Fail")</f>
        <v>Fail: 1</v>
      </c>
      <c r="E2" s="6" t="str">
        <f>"N/A: "&amp;COUNTIF(G5:G14,"N/A")</f>
        <v>N/A: 0</v>
      </c>
      <c r="F2" s="7"/>
      <c r="G2" s="7"/>
      <c r="H2" s="13"/>
    </row>
    <row r="3" spans="1:9" ht="12.75" customHeight="1">
      <c r="A3" s="20" t="s">
        <v>2</v>
      </c>
      <c r="B3" s="20" t="s">
        <v>6</v>
      </c>
      <c r="C3" s="20"/>
      <c r="D3" s="21" t="str">
        <f>"Percent Complete: "&amp;ROUND((COUNTIF(G5:G14,"Pass")*100)/((COUNTA($A$5:$A$14))-COUNTIF(G5:G14,"N/A")),2)&amp;"%"</f>
        <v>Percent Complete: 90%</v>
      </c>
      <c r="E3" s="22" t="str">
        <f>"Number of cases: "&amp;(COUNTA($A$5:$A$959))</f>
        <v>Number of cases: 10</v>
      </c>
      <c r="F3" s="11"/>
      <c r="G3" s="11"/>
      <c r="H3" s="13"/>
    </row>
    <row r="4" spans="1:9" ht="28.4" customHeight="1">
      <c r="A4" s="23" t="s">
        <v>3</v>
      </c>
      <c r="B4" s="23" t="s">
        <v>10</v>
      </c>
      <c r="C4" s="23" t="s">
        <v>11</v>
      </c>
      <c r="D4" s="23" t="s">
        <v>12</v>
      </c>
      <c r="E4" s="30" t="s">
        <v>31</v>
      </c>
      <c r="F4" s="30" t="s">
        <v>32</v>
      </c>
      <c r="G4" s="23" t="s">
        <v>15</v>
      </c>
      <c r="H4" s="23" t="s">
        <v>4</v>
      </c>
      <c r="I4" s="23" t="s">
        <v>33</v>
      </c>
    </row>
    <row r="5" spans="1:9" s="2" customFormat="1" ht="30">
      <c r="A5" s="19" t="str">
        <f>"[DangKy - " &amp; TEXT(ROW(A1),"00") &amp; "]"</f>
        <v>[DangKy - 01]</v>
      </c>
      <c r="B5" s="19" t="s">
        <v>34</v>
      </c>
      <c r="C5" s="31" t="s">
        <v>91</v>
      </c>
      <c r="D5" s="19" t="s">
        <v>92</v>
      </c>
      <c r="E5" s="19" t="s">
        <v>102</v>
      </c>
      <c r="F5" s="19" t="s">
        <v>102</v>
      </c>
      <c r="G5" s="19" t="s">
        <v>8</v>
      </c>
      <c r="H5" s="27" t="s">
        <v>16</v>
      </c>
      <c r="I5" s="36"/>
    </row>
    <row r="6" spans="1:9" ht="30">
      <c r="A6" s="19" t="str">
        <f t="shared" ref="A6:A7" si="0">"[DangKy - " &amp; TEXT(ROW(A2),"00") &amp; "]"</f>
        <v>[DangKy - 02]</v>
      </c>
      <c r="B6" s="25" t="s">
        <v>35</v>
      </c>
      <c r="C6" s="31" t="s">
        <v>91</v>
      </c>
      <c r="D6" s="19" t="s">
        <v>93</v>
      </c>
      <c r="E6" s="19" t="s">
        <v>103</v>
      </c>
      <c r="F6" s="19" t="s">
        <v>103</v>
      </c>
      <c r="G6" s="19" t="s">
        <v>8</v>
      </c>
      <c r="H6" s="27" t="s">
        <v>16</v>
      </c>
      <c r="I6" s="37"/>
    </row>
    <row r="7" spans="1:9" ht="30">
      <c r="A7" s="19" t="str">
        <f t="shared" si="0"/>
        <v>[DangKy - 03]</v>
      </c>
      <c r="B7" s="19" t="s">
        <v>86</v>
      </c>
      <c r="C7" s="31" t="s">
        <v>91</v>
      </c>
      <c r="D7" s="19" t="s">
        <v>94</v>
      </c>
      <c r="E7" s="19" t="s">
        <v>104</v>
      </c>
      <c r="F7" s="19" t="s">
        <v>108</v>
      </c>
      <c r="G7" s="35" t="s">
        <v>9</v>
      </c>
      <c r="H7" s="27" t="s">
        <v>16</v>
      </c>
      <c r="I7" s="38" t="s">
        <v>52</v>
      </c>
    </row>
    <row r="8" spans="1:9" ht="30">
      <c r="A8" s="19" t="str">
        <f>"[DangKy - " &amp; TEXT(ROW(A4),"00") &amp; "]"</f>
        <v>[DangKy - 04]</v>
      </c>
      <c r="B8" s="25" t="s">
        <v>18</v>
      </c>
      <c r="C8" s="31" t="s">
        <v>91</v>
      </c>
      <c r="D8" s="19" t="s">
        <v>95</v>
      </c>
      <c r="E8" s="19" t="s">
        <v>105</v>
      </c>
      <c r="F8" s="19" t="s">
        <v>105</v>
      </c>
      <c r="G8" s="19" t="s">
        <v>8</v>
      </c>
      <c r="H8" s="27" t="s">
        <v>16</v>
      </c>
      <c r="I8" s="37"/>
    </row>
    <row r="9" spans="1:9" ht="30">
      <c r="A9" s="19" t="str">
        <f>"[DangKy - " &amp; TEXT(ROW(A5),"00") &amp; "]"</f>
        <v>[DangKy - 05]</v>
      </c>
      <c r="B9" s="25" t="s">
        <v>17</v>
      </c>
      <c r="C9" s="31" t="s">
        <v>91</v>
      </c>
      <c r="D9" s="19" t="s">
        <v>96</v>
      </c>
      <c r="E9" s="19" t="s">
        <v>105</v>
      </c>
      <c r="F9" s="19" t="s">
        <v>105</v>
      </c>
      <c r="G9" s="19" t="s">
        <v>8</v>
      </c>
      <c r="H9" s="27" t="s">
        <v>16</v>
      </c>
      <c r="I9" s="37"/>
    </row>
    <row r="10" spans="1:9" ht="30">
      <c r="A10" s="19" t="str">
        <f t="shared" ref="A10:A14" si="1">"[DangKy - " &amp; TEXT(ROW(A6),"00") &amp; "]"</f>
        <v>[DangKy - 06]</v>
      </c>
      <c r="B10" s="25" t="s">
        <v>87</v>
      </c>
      <c r="C10" s="31" t="s">
        <v>91</v>
      </c>
      <c r="D10" s="19" t="s">
        <v>97</v>
      </c>
      <c r="E10" s="19" t="s">
        <v>105</v>
      </c>
      <c r="F10" s="19" t="s">
        <v>105</v>
      </c>
      <c r="G10" s="19" t="s">
        <v>8</v>
      </c>
      <c r="H10" s="27" t="s">
        <v>16</v>
      </c>
      <c r="I10" s="37"/>
    </row>
    <row r="11" spans="1:9" ht="30">
      <c r="A11" s="19" t="str">
        <f t="shared" si="1"/>
        <v>[DangKy - 07]</v>
      </c>
      <c r="B11" s="25" t="s">
        <v>56</v>
      </c>
      <c r="C11" s="31" t="s">
        <v>91</v>
      </c>
      <c r="D11" s="19" t="s">
        <v>98</v>
      </c>
      <c r="E11" s="19" t="s">
        <v>106</v>
      </c>
      <c r="F11" s="19" t="s">
        <v>106</v>
      </c>
      <c r="G11" s="19" t="s">
        <v>8</v>
      </c>
      <c r="H11" s="27" t="s">
        <v>16</v>
      </c>
      <c r="I11" s="34"/>
    </row>
    <row r="12" spans="1:9" ht="30">
      <c r="A12" s="19" t="str">
        <f t="shared" si="1"/>
        <v>[DangKy - 08]</v>
      </c>
      <c r="B12" s="25" t="s">
        <v>88</v>
      </c>
      <c r="C12" s="31" t="s">
        <v>91</v>
      </c>
      <c r="D12" s="19" t="s">
        <v>99</v>
      </c>
      <c r="E12" s="19" t="s">
        <v>106</v>
      </c>
      <c r="F12" s="19" t="s">
        <v>106</v>
      </c>
      <c r="G12" s="19" t="s">
        <v>8</v>
      </c>
      <c r="H12" s="27" t="s">
        <v>16</v>
      </c>
      <c r="I12" s="34"/>
    </row>
    <row r="13" spans="1:9" ht="30">
      <c r="A13" s="19" t="str">
        <f t="shared" si="1"/>
        <v>[DangKy - 09]</v>
      </c>
      <c r="B13" s="19" t="s">
        <v>89</v>
      </c>
      <c r="C13" s="31" t="s">
        <v>91</v>
      </c>
      <c r="D13" s="19" t="s">
        <v>100</v>
      </c>
      <c r="E13" s="19" t="s">
        <v>106</v>
      </c>
      <c r="F13" s="19" t="s">
        <v>106</v>
      </c>
      <c r="G13" s="19" t="s">
        <v>8</v>
      </c>
      <c r="H13" s="27" t="s">
        <v>16</v>
      </c>
      <c r="I13" s="37"/>
    </row>
    <row r="14" spans="1:9" ht="30">
      <c r="A14" s="19" t="str">
        <f t="shared" si="1"/>
        <v>[DangKy - 10]</v>
      </c>
      <c r="B14" s="19" t="s">
        <v>90</v>
      </c>
      <c r="C14" s="31" t="s">
        <v>91</v>
      </c>
      <c r="D14" s="19" t="s">
        <v>101</v>
      </c>
      <c r="E14" s="19" t="s">
        <v>107</v>
      </c>
      <c r="F14" s="19" t="s">
        <v>109</v>
      </c>
      <c r="G14" s="19" t="s">
        <v>8</v>
      </c>
      <c r="H14" s="27" t="s">
        <v>16</v>
      </c>
      <c r="I14" s="37"/>
    </row>
  </sheetData>
  <hyperlinks>
    <hyperlink ref="B1" location="BugList!A1" display="To Buglist" xr:uid="{B79BF084-50C5-49A5-A50F-92D6680D8D1C}"/>
    <hyperlink ref="A1" r:id="rId1" xr:uid="{3852A2AE-6ED2-4C3E-BA7A-5A6CF7C7E9F0}"/>
    <hyperlink ref="I7" r:id="rId2" xr:uid="{6ECDF2A3-A60F-476B-9EEC-0F76C77BC890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50ACE-C4E2-45B8-904E-143A070037AD}">
  <dimension ref="A1:I15"/>
  <sheetViews>
    <sheetView tabSelected="1" zoomScaleNormal="100" workbookViewId="0">
      <selection activeCell="D4" sqref="D4"/>
    </sheetView>
  </sheetViews>
  <sheetFormatPr defaultColWidth="9" defaultRowHeight="10"/>
  <cols>
    <col min="1" max="1" width="12.36328125" style="8" bestFit="1" customWidth="1"/>
    <col min="2" max="2" width="17.54296875" style="8" bestFit="1" customWidth="1"/>
    <col min="3" max="3" width="18" style="8" customWidth="1"/>
    <col min="4" max="4" width="28" style="8" bestFit="1" customWidth="1"/>
    <col min="5" max="6" width="30.36328125" style="8" customWidth="1"/>
    <col min="7" max="7" width="9.6328125" style="8" customWidth="1"/>
    <col min="8" max="8" width="6.54296875" style="8" customWidth="1"/>
    <col min="9" max="16384" width="9" style="8"/>
  </cols>
  <sheetData>
    <row r="1" spans="1:9" ht="14.5">
      <c r="A1" s="18" t="s">
        <v>22</v>
      </c>
      <c r="B1" s="4" t="s">
        <v>0</v>
      </c>
      <c r="C1" s="4"/>
      <c r="D1" s="5" t="str">
        <f>"Pass: "&amp;COUNTIF(G5:G15,"Pass")</f>
        <v>Pass: 6</v>
      </c>
      <c r="E1" s="6" t="str">
        <f>"Untested: "&amp;COUNTIF(G5:G10,"Untest")</f>
        <v>Untested: 0</v>
      </c>
      <c r="F1" s="7"/>
      <c r="G1" s="7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0</v>
      </c>
      <c r="E2" s="6" t="str">
        <f>"N/A: "&amp;COUNTIF(G5:G10,"N/A")</f>
        <v>N/A: 0</v>
      </c>
      <c r="F2" s="7"/>
      <c r="G2" s="7"/>
    </row>
    <row r="3" spans="1:9" ht="12.75" customHeight="1">
      <c r="A3" s="20" t="s">
        <v>2</v>
      </c>
      <c r="B3" s="20" t="s">
        <v>6</v>
      </c>
      <c r="C3" s="20"/>
      <c r="D3" s="21" t="str">
        <f>"Percent Complete: "&amp;ROUND((COUNTIF(G5:G10,"Pass")*100)/((COUNTA($A$5:$A$10))-COUNTIF(G5:G10,"N/A")),2)&amp;"%"</f>
        <v>Percent Complete: 100%</v>
      </c>
      <c r="E3" s="22" t="str">
        <f>"Number of cases: "&amp;(COUNTA($A$5:$A$965))</f>
        <v>Number of cases: 6</v>
      </c>
      <c r="F3" s="11"/>
      <c r="G3" s="11"/>
    </row>
    <row r="4" spans="1:9" ht="28.4" customHeight="1">
      <c r="A4" s="23" t="s">
        <v>3</v>
      </c>
      <c r="B4" s="23" t="s">
        <v>25</v>
      </c>
      <c r="C4" s="23" t="s">
        <v>11</v>
      </c>
      <c r="D4" s="23" t="s">
        <v>12</v>
      </c>
      <c r="E4" s="23" t="s">
        <v>13</v>
      </c>
      <c r="F4" s="23" t="s">
        <v>14</v>
      </c>
      <c r="G4" s="23" t="s">
        <v>15</v>
      </c>
      <c r="H4" s="23" t="s">
        <v>4</v>
      </c>
      <c r="I4" s="29" t="s">
        <v>33</v>
      </c>
    </row>
    <row r="5" spans="1:9" s="15" customFormat="1" ht="30">
      <c r="A5" s="19" t="str">
        <f>"[TimKiemSP - " &amp; TEXT(ROW(A1),"00") &amp; "]"</f>
        <v>[TimKiemSP - 01]</v>
      </c>
      <c r="B5" s="28" t="s">
        <v>23</v>
      </c>
      <c r="C5" s="31" t="s">
        <v>7</v>
      </c>
      <c r="D5" s="19" t="s">
        <v>120</v>
      </c>
      <c r="E5" s="19" t="s">
        <v>115</v>
      </c>
      <c r="F5" s="19" t="s">
        <v>115</v>
      </c>
      <c r="G5" s="19" t="s">
        <v>8</v>
      </c>
      <c r="H5" s="32" t="s">
        <v>16</v>
      </c>
    </row>
    <row r="6" spans="1:9" ht="30">
      <c r="A6" s="19" t="str">
        <f t="shared" ref="A6:A10" si="0">"[TimKiemSP - " &amp; TEXT(ROW(A2),"00") &amp; "]"</f>
        <v>[TimKiemSP - 02]</v>
      </c>
      <c r="B6" s="28" t="s">
        <v>36</v>
      </c>
      <c r="C6" s="31" t="s">
        <v>7</v>
      </c>
      <c r="D6" s="19" t="s">
        <v>121</v>
      </c>
      <c r="E6" s="19" t="s">
        <v>116</v>
      </c>
      <c r="F6" s="19" t="s">
        <v>116</v>
      </c>
      <c r="G6" s="19" t="s">
        <v>8</v>
      </c>
      <c r="H6" s="32" t="s">
        <v>16</v>
      </c>
    </row>
    <row r="7" spans="1:9" ht="30">
      <c r="A7" s="19" t="str">
        <f t="shared" si="0"/>
        <v>[TimKiemSP - 03]</v>
      </c>
      <c r="B7" s="28" t="s">
        <v>37</v>
      </c>
      <c r="C7" s="31" t="s">
        <v>7</v>
      </c>
      <c r="D7" s="19" t="s">
        <v>122</v>
      </c>
      <c r="E7" s="19" t="s">
        <v>117</v>
      </c>
      <c r="F7" s="19" t="s">
        <v>117</v>
      </c>
      <c r="G7" s="19" t="s">
        <v>8</v>
      </c>
      <c r="H7" s="32" t="s">
        <v>16</v>
      </c>
      <c r="I7" s="16"/>
    </row>
    <row r="8" spans="1:9" ht="30">
      <c r="A8" s="19" t="str">
        <f>"[TimKiemSP - " &amp; TEXT(ROW(C4),"00") &amp; "]"</f>
        <v>[TimKiemSP - 04]</v>
      </c>
      <c r="B8" s="28" t="s">
        <v>24</v>
      </c>
      <c r="C8" s="31" t="s">
        <v>7</v>
      </c>
      <c r="D8" s="19" t="s">
        <v>123</v>
      </c>
      <c r="E8" s="19" t="s">
        <v>38</v>
      </c>
      <c r="F8" s="19" t="s">
        <v>38</v>
      </c>
      <c r="G8" s="19" t="s">
        <v>8</v>
      </c>
      <c r="H8" s="32" t="s">
        <v>16</v>
      </c>
      <c r="I8" s="17"/>
    </row>
    <row r="9" spans="1:9" ht="30">
      <c r="A9" s="19" t="str">
        <f t="shared" si="0"/>
        <v>[TimKiemSP - 05]</v>
      </c>
      <c r="B9" s="28" t="s">
        <v>39</v>
      </c>
      <c r="C9" s="31" t="s">
        <v>7</v>
      </c>
      <c r="D9" s="19" t="s">
        <v>124</v>
      </c>
      <c r="E9" s="19" t="s">
        <v>40</v>
      </c>
      <c r="F9" s="19" t="s">
        <v>40</v>
      </c>
      <c r="G9" s="28" t="s">
        <v>8</v>
      </c>
      <c r="H9" s="32" t="s">
        <v>16</v>
      </c>
      <c r="I9" s="16"/>
    </row>
    <row r="10" spans="1:9" ht="30">
      <c r="A10" s="19" t="str">
        <f t="shared" si="0"/>
        <v>[TimKiemSP - 06]</v>
      </c>
      <c r="B10" s="28" t="s">
        <v>41</v>
      </c>
      <c r="C10" s="31" t="s">
        <v>7</v>
      </c>
      <c r="D10" s="19" t="s">
        <v>125</v>
      </c>
      <c r="E10" s="19" t="s">
        <v>42</v>
      </c>
      <c r="F10" s="19" t="s">
        <v>42</v>
      </c>
      <c r="G10" s="28" t="s">
        <v>8</v>
      </c>
      <c r="H10" s="32" t="s">
        <v>16</v>
      </c>
    </row>
    <row r="11" spans="1:9">
      <c r="D11" s="12"/>
    </row>
    <row r="12" spans="1:9">
      <c r="D12" s="12"/>
    </row>
    <row r="13" spans="1:9">
      <c r="D13" s="12"/>
    </row>
    <row r="14" spans="1:9">
      <c r="D14" s="12"/>
    </row>
    <row r="15" spans="1:9">
      <c r="D15" s="12"/>
    </row>
  </sheetData>
  <dataValidations count="1">
    <dataValidation type="list" allowBlank="1" showInputMessage="1" showErrorMessage="1" sqref="G11:G15" xr:uid="{10B3385E-4436-4BD0-BDA7-E6AD439E7BF3}">
      <formula1>"Pass, Fail"</formula1>
    </dataValidation>
  </dataValidations>
  <hyperlinks>
    <hyperlink ref="B1" location="BugList!A1" display="To Buglist" xr:uid="{A3098D32-72C9-414E-B33D-6C5E10FF3F93}"/>
    <hyperlink ref="A1" r:id="rId1" xr:uid="{1DF8E205-72D0-4EB4-9C5F-E82C8CAB5001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798-73C5-4916-82B2-E9D7D7546E22}">
  <dimension ref="F4:I11"/>
  <sheetViews>
    <sheetView workbookViewId="0">
      <selection activeCell="H16" sqref="H16"/>
    </sheetView>
  </sheetViews>
  <sheetFormatPr defaultRowHeight="13"/>
  <cols>
    <col min="1" max="1" width="8.26953125" customWidth="1"/>
    <col min="6" max="6" width="14.81640625" customWidth="1"/>
    <col min="7" max="7" width="15.54296875" bestFit="1" customWidth="1"/>
  </cols>
  <sheetData>
    <row r="4" spans="6:9" ht="14.5">
      <c r="F4" s="40" t="s">
        <v>71</v>
      </c>
      <c r="G4" s="40" t="s">
        <v>79</v>
      </c>
      <c r="H4" s="40" t="s">
        <v>8</v>
      </c>
      <c r="I4" s="40" t="s">
        <v>9</v>
      </c>
    </row>
    <row r="5" spans="6:9" ht="14.5">
      <c r="F5" s="39" t="s">
        <v>72</v>
      </c>
      <c r="G5" s="41">
        <v>10</v>
      </c>
      <c r="H5" s="41">
        <v>9</v>
      </c>
      <c r="I5" s="41">
        <v>1</v>
      </c>
    </row>
    <row r="6" spans="6:9" ht="14.5">
      <c r="F6" s="45" t="s">
        <v>73</v>
      </c>
      <c r="G6" s="46">
        <v>5</v>
      </c>
      <c r="H6" s="46">
        <v>5</v>
      </c>
      <c r="I6" s="46">
        <v>0</v>
      </c>
    </row>
    <row r="7" spans="6:9" ht="14.5">
      <c r="F7" s="39" t="s">
        <v>74</v>
      </c>
      <c r="G7" s="41">
        <v>6</v>
      </c>
      <c r="H7" s="41">
        <v>6</v>
      </c>
      <c r="I7" s="41">
        <v>0</v>
      </c>
    </row>
    <row r="8" spans="6:9" ht="14.5">
      <c r="F8" s="45" t="s">
        <v>75</v>
      </c>
      <c r="G8" s="46">
        <v>11</v>
      </c>
      <c r="H8" s="46">
        <v>10</v>
      </c>
      <c r="I8" s="46">
        <v>1</v>
      </c>
    </row>
    <row r="9" spans="6:9" ht="14.5">
      <c r="F9" s="39" t="s">
        <v>76</v>
      </c>
      <c r="G9" s="41">
        <v>11</v>
      </c>
      <c r="H9" s="41">
        <v>10</v>
      </c>
      <c r="I9" s="41">
        <v>1</v>
      </c>
    </row>
    <row r="10" spans="6:9" ht="14.5">
      <c r="F10" s="45" t="s">
        <v>77</v>
      </c>
      <c r="G10" s="46">
        <v>8</v>
      </c>
      <c r="H10" s="46">
        <v>4</v>
      </c>
      <c r="I10" s="46">
        <v>4</v>
      </c>
    </row>
    <row r="11" spans="6:9" ht="14.5">
      <c r="F11" s="43" t="s">
        <v>80</v>
      </c>
      <c r="G11" s="44">
        <f>SUM(G5:G10)</f>
        <v>51</v>
      </c>
      <c r="H11" s="42">
        <f t="shared" ref="H11:I11" si="0">SUM(H5:H10)</f>
        <v>44</v>
      </c>
      <c r="I11" s="47">
        <f t="shared" si="0"/>
        <v>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25E9-734E-4BB9-B6DD-ADDDAEBE5EA0}">
  <dimension ref="A1:I15"/>
  <sheetViews>
    <sheetView zoomScale="96" zoomScaleNormal="100" workbookViewId="0">
      <selection activeCell="D4" sqref="D4"/>
    </sheetView>
  </sheetViews>
  <sheetFormatPr defaultRowHeight="13"/>
  <cols>
    <col min="1" max="1" width="12.36328125" bestFit="1" customWidth="1"/>
    <col min="2" max="2" width="16.7265625" customWidth="1"/>
    <col min="3" max="3" width="19.26953125" customWidth="1"/>
    <col min="4" max="4" width="36.453125" customWidth="1"/>
    <col min="5" max="5" width="23.6328125" customWidth="1"/>
    <col min="6" max="6" width="32.81640625" customWidth="1"/>
    <col min="8" max="8" width="4.453125" bestFit="1" customWidth="1"/>
    <col min="9" max="9" width="19.08984375" customWidth="1"/>
  </cols>
  <sheetData>
    <row r="1" spans="1:9" ht="14.5">
      <c r="A1" s="18" t="s">
        <v>22</v>
      </c>
      <c r="B1" s="4" t="s">
        <v>0</v>
      </c>
      <c r="C1" s="4"/>
      <c r="D1" s="5" t="str">
        <f>"Pass: "&amp;COUNTIF(G5:G15,"Pass")</f>
        <v>Pass: 10</v>
      </c>
      <c r="E1" s="6" t="str">
        <f>"Untested: "&amp;COUNTIF(G5:G15,"Untest")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1</v>
      </c>
      <c r="E2" s="6" t="str">
        <f>"N/A: "&amp;COUNTIF(G5:G15,"N/A")</f>
        <v>N/A: 0</v>
      </c>
      <c r="F2" s="7"/>
      <c r="G2" s="7"/>
      <c r="H2" s="8"/>
    </row>
    <row r="3" spans="1:9">
      <c r="A3" s="20" t="s">
        <v>2</v>
      </c>
      <c r="B3" s="20" t="s">
        <v>6</v>
      </c>
      <c r="C3" s="20"/>
      <c r="D3" s="21" t="str">
        <f>"Percent Complete: "&amp;IFERROR(ROUND((COUNTIF(G5:G15,"Pass")*100)/(COUNTA(G5:G15)-COUNTIF(G5:G15,"N/A")),2),0)&amp;"%"</f>
        <v>Percent Complete: 90.91%</v>
      </c>
      <c r="E3" s="22" t="str">
        <f>"Number of cases: "&amp;(COUNTA($A$5:$A$959))</f>
        <v>Number of cases: 11</v>
      </c>
      <c r="F3" s="11"/>
      <c r="G3" s="11"/>
      <c r="H3" s="8"/>
    </row>
    <row r="4" spans="1:9" ht="36.5" customHeight="1">
      <c r="A4" s="23" t="s">
        <v>3</v>
      </c>
      <c r="B4" s="23" t="s">
        <v>25</v>
      </c>
      <c r="C4" s="23" t="s">
        <v>11</v>
      </c>
      <c r="D4" s="23" t="s">
        <v>12</v>
      </c>
      <c r="E4" s="23" t="s">
        <v>13</v>
      </c>
      <c r="F4" s="23" t="s">
        <v>14</v>
      </c>
      <c r="G4" s="23" t="s">
        <v>15</v>
      </c>
      <c r="H4" s="23" t="s">
        <v>4</v>
      </c>
      <c r="I4" s="23" t="s">
        <v>33</v>
      </c>
    </row>
    <row r="5" spans="1:9" ht="40">
      <c r="A5" s="19" t="str">
        <f>"[ThanhToan - " &amp; TEXT(ROW(A1),"00") &amp; "]"</f>
        <v>[ThanhToan - 01]</v>
      </c>
      <c r="B5" s="19" t="s">
        <v>28</v>
      </c>
      <c r="C5" s="31" t="s">
        <v>119</v>
      </c>
      <c r="D5" s="19" t="s">
        <v>167</v>
      </c>
      <c r="E5" s="19" t="s">
        <v>45</v>
      </c>
      <c r="F5" s="19" t="s">
        <v>45</v>
      </c>
      <c r="G5" s="19" t="s">
        <v>8</v>
      </c>
      <c r="H5" s="19" t="s">
        <v>16</v>
      </c>
      <c r="I5" s="33"/>
    </row>
    <row r="6" spans="1:9" ht="40">
      <c r="A6" s="19" t="str">
        <f t="shared" ref="A6:A15" si="0">"[ThanhToan - " &amp; TEXT(ROW(A2),"00") &amp; "]"</f>
        <v>[ThanhToan - 02]</v>
      </c>
      <c r="B6" s="19" t="s">
        <v>43</v>
      </c>
      <c r="C6" s="31" t="s">
        <v>119</v>
      </c>
      <c r="D6" s="19" t="s">
        <v>126</v>
      </c>
      <c r="E6" s="19" t="s">
        <v>47</v>
      </c>
      <c r="F6" s="19" t="s">
        <v>47</v>
      </c>
      <c r="G6" s="19" t="s">
        <v>8</v>
      </c>
      <c r="H6" s="19" t="s">
        <v>16</v>
      </c>
      <c r="I6" s="33"/>
    </row>
    <row r="7" spans="1:9" ht="40">
      <c r="A7" s="19" t="str">
        <f t="shared" si="0"/>
        <v>[ThanhToan - 03]</v>
      </c>
      <c r="B7" s="19" t="s">
        <v>44</v>
      </c>
      <c r="C7" s="31" t="s">
        <v>119</v>
      </c>
      <c r="D7" s="19" t="s">
        <v>127</v>
      </c>
      <c r="E7" s="19" t="s">
        <v>47</v>
      </c>
      <c r="F7" s="19" t="s">
        <v>45</v>
      </c>
      <c r="G7" s="35" t="s">
        <v>9</v>
      </c>
      <c r="H7" s="19" t="s">
        <v>16</v>
      </c>
      <c r="I7" s="38" t="s">
        <v>63</v>
      </c>
    </row>
    <row r="8" spans="1:9" ht="40">
      <c r="A8" s="19" t="str">
        <f t="shared" si="0"/>
        <v>[ThanhToan - 04]</v>
      </c>
      <c r="B8" s="19" t="s">
        <v>53</v>
      </c>
      <c r="C8" s="31" t="s">
        <v>119</v>
      </c>
      <c r="D8" s="19" t="s">
        <v>128</v>
      </c>
      <c r="E8" s="19" t="s">
        <v>47</v>
      </c>
      <c r="F8" s="19" t="s">
        <v>47</v>
      </c>
      <c r="G8" s="19" t="s">
        <v>8</v>
      </c>
      <c r="H8" s="19" t="s">
        <v>16</v>
      </c>
      <c r="I8" s="33"/>
    </row>
    <row r="9" spans="1:9" ht="40">
      <c r="A9" s="19" t="str">
        <f t="shared" si="0"/>
        <v>[ThanhToan - 05]</v>
      </c>
      <c r="B9" s="19" t="s">
        <v>78</v>
      </c>
      <c r="C9" s="31" t="s">
        <v>119</v>
      </c>
      <c r="D9" s="19" t="s">
        <v>129</v>
      </c>
      <c r="E9" s="19" t="s">
        <v>47</v>
      </c>
      <c r="F9" s="19" t="s">
        <v>47</v>
      </c>
      <c r="G9" s="19" t="s">
        <v>8</v>
      </c>
      <c r="H9" s="19" t="s">
        <v>16</v>
      </c>
      <c r="I9" s="33"/>
    </row>
    <row r="10" spans="1:9" ht="40">
      <c r="A10" s="19" t="str">
        <f t="shared" si="0"/>
        <v>[ThanhToan - 06]</v>
      </c>
      <c r="B10" s="19" t="s">
        <v>118</v>
      </c>
      <c r="C10" s="31" t="s">
        <v>119</v>
      </c>
      <c r="D10" s="19" t="s">
        <v>130</v>
      </c>
      <c r="E10" s="19" t="s">
        <v>46</v>
      </c>
      <c r="F10" s="19" t="s">
        <v>46</v>
      </c>
      <c r="G10" s="19" t="s">
        <v>8</v>
      </c>
      <c r="H10" s="19" t="s">
        <v>16</v>
      </c>
      <c r="I10" s="33"/>
    </row>
    <row r="11" spans="1:9" ht="40">
      <c r="A11" s="19" t="str">
        <f t="shared" si="0"/>
        <v>[ThanhToan - 07]</v>
      </c>
      <c r="B11" s="19" t="s">
        <v>27</v>
      </c>
      <c r="C11" s="31" t="s">
        <v>119</v>
      </c>
      <c r="D11" s="19" t="s">
        <v>131</v>
      </c>
      <c r="E11" s="19" t="s">
        <v>46</v>
      </c>
      <c r="F11" s="19" t="s">
        <v>46</v>
      </c>
      <c r="G11" s="19" t="s">
        <v>8</v>
      </c>
      <c r="H11" s="19" t="s">
        <v>16</v>
      </c>
      <c r="I11" s="33"/>
    </row>
    <row r="12" spans="1:9" ht="40">
      <c r="A12" s="19" t="str">
        <f t="shared" si="0"/>
        <v>[ThanhToan - 08]</v>
      </c>
      <c r="B12" s="19" t="s">
        <v>54</v>
      </c>
      <c r="C12" s="31" t="s">
        <v>119</v>
      </c>
      <c r="D12" s="19" t="s">
        <v>132</v>
      </c>
      <c r="E12" s="19" t="s">
        <v>57</v>
      </c>
      <c r="F12" s="19" t="s">
        <v>58</v>
      </c>
      <c r="G12" s="19" t="s">
        <v>8</v>
      </c>
      <c r="H12" s="19" t="s">
        <v>16</v>
      </c>
      <c r="I12" s="33"/>
    </row>
    <row r="13" spans="1:9" ht="40">
      <c r="A13" s="19" t="str">
        <f t="shared" si="0"/>
        <v>[ThanhToan - 09]</v>
      </c>
      <c r="B13" s="19" t="s">
        <v>55</v>
      </c>
      <c r="C13" s="31" t="s">
        <v>119</v>
      </c>
      <c r="D13" s="19" t="s">
        <v>133</v>
      </c>
      <c r="E13" s="19" t="s">
        <v>60</v>
      </c>
      <c r="F13" s="19" t="s">
        <v>58</v>
      </c>
      <c r="G13" s="19" t="s">
        <v>8</v>
      </c>
      <c r="H13" s="19" t="s">
        <v>16</v>
      </c>
      <c r="I13" s="33"/>
    </row>
    <row r="14" spans="1:9" ht="40">
      <c r="A14" s="19" t="str">
        <f t="shared" si="0"/>
        <v>[ThanhToan - 10]</v>
      </c>
      <c r="B14" s="19" t="s">
        <v>56</v>
      </c>
      <c r="C14" s="31" t="s">
        <v>119</v>
      </c>
      <c r="D14" s="19" t="s">
        <v>134</v>
      </c>
      <c r="E14" s="19" t="s">
        <v>61</v>
      </c>
      <c r="F14" s="19" t="s">
        <v>58</v>
      </c>
      <c r="G14" s="19" t="s">
        <v>8</v>
      </c>
      <c r="H14" s="19" t="s">
        <v>16</v>
      </c>
      <c r="I14" s="33"/>
    </row>
    <row r="15" spans="1:9" ht="40">
      <c r="A15" s="19" t="str">
        <f t="shared" si="0"/>
        <v>[ThanhToan - 11]</v>
      </c>
      <c r="B15" s="19" t="s">
        <v>90</v>
      </c>
      <c r="C15" s="31" t="s">
        <v>119</v>
      </c>
      <c r="D15" s="19" t="s">
        <v>135</v>
      </c>
      <c r="E15" s="19" t="s">
        <v>62</v>
      </c>
      <c r="F15" s="19" t="s">
        <v>59</v>
      </c>
      <c r="G15" s="19" t="s">
        <v>8</v>
      </c>
      <c r="H15" s="19" t="s">
        <v>16</v>
      </c>
      <c r="I15" s="33"/>
    </row>
  </sheetData>
  <hyperlinks>
    <hyperlink ref="B1" location="BugList!A1" display="To Buglist" xr:uid="{07606E3B-9B4E-48B7-85EB-5B0C6571987F}"/>
    <hyperlink ref="A1" r:id="rId1" xr:uid="{8E4886B0-4173-410D-9DE8-436F22B7FC57}"/>
    <hyperlink ref="I7" r:id="rId2" xr:uid="{0057FB9B-9334-481E-B37D-13888CFB828B}"/>
  </hyperlinks>
  <pageMargins left="0.7" right="0.7" top="0.75" bottom="0.75" header="0.3" footer="0.3"/>
  <pageSetup orientation="portrait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45F8-44BD-40EB-BEFA-56F152ECC625}">
  <dimension ref="A1:I12"/>
  <sheetViews>
    <sheetView topLeftCell="A6" zoomScale="105" workbookViewId="0">
      <selection activeCell="E12" sqref="A9:E12"/>
    </sheetView>
  </sheetViews>
  <sheetFormatPr defaultRowHeight="13"/>
  <cols>
    <col min="1" max="1" width="14" bestFit="1" customWidth="1"/>
    <col min="2" max="2" width="14.08984375" customWidth="1"/>
    <col min="3" max="3" width="20" customWidth="1"/>
    <col min="4" max="4" width="30.7265625" customWidth="1"/>
    <col min="5" max="5" width="28.1796875" customWidth="1"/>
    <col min="6" max="6" width="19.453125" customWidth="1"/>
    <col min="8" max="8" width="5.90625" customWidth="1"/>
    <col min="9" max="9" width="18.1796875" customWidth="1"/>
  </cols>
  <sheetData>
    <row r="1" spans="1:9" ht="14.5">
      <c r="A1" s="18" t="s">
        <v>22</v>
      </c>
      <c r="B1" s="4" t="s">
        <v>0</v>
      </c>
      <c r="C1" s="4"/>
      <c r="D1" s="5" t="str">
        <f>"Pass: "&amp;COUNTIF(G5:G12,"Pass")</f>
        <v>Pass: 4</v>
      </c>
      <c r="E1" s="6" t="str">
        <f>"Untested: "&amp;COUNTIF(G5:G14,"Untest")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"&amp;COUNTIF(G5:G12,"Fail")</f>
        <v>Fail: 4</v>
      </c>
      <c r="E2" s="6" t="str">
        <f>"N/A: "&amp;COUNTIF(G5:G14,"N/A")</f>
        <v>N/A: 0</v>
      </c>
      <c r="F2" s="7"/>
      <c r="G2" s="7"/>
      <c r="H2" s="8"/>
    </row>
    <row r="3" spans="1:9" ht="20">
      <c r="A3" s="20" t="s">
        <v>2</v>
      </c>
      <c r="B3" s="20" t="s">
        <v>6</v>
      </c>
      <c r="C3" s="20"/>
      <c r="D3" s="21" t="str">
        <f>"Percent Complete: "&amp;IFERROR(ROUND((COUNTIF(G5:G12,"Pass")*100)/(COUNTA(G5:G12)-COUNTIF(G5:G12,"N/A")),2),0)&amp;"%"</f>
        <v>Percent Complete: 50%</v>
      </c>
      <c r="E3" s="22" t="str">
        <f>"Number of cases: "&amp;(COUNTA($A$5:$A$964))</f>
        <v>Number of cases: 8</v>
      </c>
      <c r="F3" s="11"/>
      <c r="G3" s="11"/>
      <c r="H3" s="8"/>
    </row>
    <row r="4" spans="1:9" ht="20">
      <c r="A4" s="23" t="s">
        <v>3</v>
      </c>
      <c r="B4" s="23" t="s">
        <v>25</v>
      </c>
      <c r="C4" s="23" t="s">
        <v>11</v>
      </c>
      <c r="D4" s="23" t="s">
        <v>12</v>
      </c>
      <c r="E4" s="23" t="s">
        <v>13</v>
      </c>
      <c r="F4" s="23" t="s">
        <v>14</v>
      </c>
      <c r="G4" s="23" t="s">
        <v>15</v>
      </c>
      <c r="H4" s="23" t="s">
        <v>4</v>
      </c>
      <c r="I4" s="23" t="s">
        <v>33</v>
      </c>
    </row>
    <row r="5" spans="1:9" ht="40">
      <c r="A5" s="19" t="str">
        <f>"[ChangeProfile - " &amp; TEXT(ROW(A1),"00") &amp; "]"</f>
        <v>[ChangeProfile - 01]</v>
      </c>
      <c r="B5" s="19" t="s">
        <v>48</v>
      </c>
      <c r="C5" s="31" t="s">
        <v>138</v>
      </c>
      <c r="D5" s="19" t="s">
        <v>139</v>
      </c>
      <c r="E5" s="19" t="s">
        <v>136</v>
      </c>
      <c r="F5" s="19" t="s">
        <v>136</v>
      </c>
      <c r="G5" s="19" t="s">
        <v>8</v>
      </c>
      <c r="H5" s="19" t="s">
        <v>16</v>
      </c>
      <c r="I5" s="34"/>
    </row>
    <row r="6" spans="1:9" ht="40">
      <c r="A6" s="19" t="str">
        <f t="shared" ref="A6:A12" si="0">"[ChangeProfile - " &amp; TEXT(ROW(A2),"00") &amp; "]"</f>
        <v>[ChangeProfile - 02]</v>
      </c>
      <c r="B6" s="19" t="s">
        <v>29</v>
      </c>
      <c r="C6" s="31" t="s">
        <v>138</v>
      </c>
      <c r="D6" s="19" t="s">
        <v>140</v>
      </c>
      <c r="E6" s="19" t="s">
        <v>136</v>
      </c>
      <c r="F6" s="19" t="s">
        <v>136</v>
      </c>
      <c r="G6" s="19" t="s">
        <v>8</v>
      </c>
      <c r="H6" s="19" t="s">
        <v>16</v>
      </c>
      <c r="I6" s="34"/>
    </row>
    <row r="7" spans="1:9" ht="40">
      <c r="A7" s="19" t="str">
        <f t="shared" si="0"/>
        <v>[ChangeProfile - 03]</v>
      </c>
      <c r="B7" s="19" t="s">
        <v>30</v>
      </c>
      <c r="C7" s="31" t="s">
        <v>138</v>
      </c>
      <c r="D7" s="19" t="s">
        <v>141</v>
      </c>
      <c r="E7" s="19" t="s">
        <v>136</v>
      </c>
      <c r="F7" s="19" t="s">
        <v>136</v>
      </c>
      <c r="G7" s="19" t="s">
        <v>8</v>
      </c>
      <c r="H7" s="19" t="s">
        <v>16</v>
      </c>
      <c r="I7" s="34"/>
    </row>
    <row r="8" spans="1:9" ht="40">
      <c r="A8" s="19" t="str">
        <f t="shared" si="0"/>
        <v>[ChangeProfile - 04]</v>
      </c>
      <c r="B8" s="19" t="s">
        <v>49</v>
      </c>
      <c r="C8" s="31" t="s">
        <v>138</v>
      </c>
      <c r="D8" s="19" t="s">
        <v>142</v>
      </c>
      <c r="E8" s="19" t="s">
        <v>136</v>
      </c>
      <c r="F8" s="19" t="s">
        <v>136</v>
      </c>
      <c r="G8" s="19" t="s">
        <v>8</v>
      </c>
      <c r="H8" s="19" t="s">
        <v>16</v>
      </c>
      <c r="I8" s="34"/>
    </row>
    <row r="9" spans="1:9" ht="40">
      <c r="A9" s="19" t="str">
        <f t="shared" si="0"/>
        <v>[ChangeProfile - 05]</v>
      </c>
      <c r="B9" s="19" t="s">
        <v>64</v>
      </c>
      <c r="C9" s="31" t="s">
        <v>138</v>
      </c>
      <c r="D9" s="19" t="s">
        <v>143</v>
      </c>
      <c r="E9" s="19" t="s">
        <v>137</v>
      </c>
      <c r="F9" s="19" t="s">
        <v>136</v>
      </c>
      <c r="G9" s="35" t="s">
        <v>9</v>
      </c>
      <c r="H9" s="19" t="s">
        <v>16</v>
      </c>
      <c r="I9" s="38" t="s">
        <v>67</v>
      </c>
    </row>
    <row r="10" spans="1:9" ht="40">
      <c r="A10" s="19" t="str">
        <f t="shared" si="0"/>
        <v>[ChangeProfile - 06]</v>
      </c>
      <c r="B10" s="19" t="s">
        <v>50</v>
      </c>
      <c r="C10" s="31" t="s">
        <v>138</v>
      </c>
      <c r="D10" s="19" t="s">
        <v>144</v>
      </c>
      <c r="E10" s="19" t="s">
        <v>137</v>
      </c>
      <c r="F10" s="19" t="s">
        <v>136</v>
      </c>
      <c r="G10" s="35" t="s">
        <v>9</v>
      </c>
      <c r="H10" s="19" t="s">
        <v>16</v>
      </c>
      <c r="I10" s="38" t="s">
        <v>68</v>
      </c>
    </row>
    <row r="11" spans="1:9" ht="40">
      <c r="A11" s="19" t="str">
        <f t="shared" si="0"/>
        <v>[ChangeProfile - 07]</v>
      </c>
      <c r="B11" s="19" t="s">
        <v>65</v>
      </c>
      <c r="C11" s="31" t="s">
        <v>138</v>
      </c>
      <c r="D11" s="19" t="s">
        <v>145</v>
      </c>
      <c r="E11" s="19" t="s">
        <v>137</v>
      </c>
      <c r="F11" s="19" t="s">
        <v>136</v>
      </c>
      <c r="G11" s="35" t="s">
        <v>9</v>
      </c>
      <c r="H11" s="19" t="s">
        <v>16</v>
      </c>
      <c r="I11" s="38" t="s">
        <v>69</v>
      </c>
    </row>
    <row r="12" spans="1:9" ht="40">
      <c r="A12" s="19" t="str">
        <f t="shared" si="0"/>
        <v>[ChangeProfile - 08]</v>
      </c>
      <c r="B12" s="19" t="s">
        <v>66</v>
      </c>
      <c r="C12" s="31" t="s">
        <v>138</v>
      </c>
      <c r="D12" s="19" t="s">
        <v>146</v>
      </c>
      <c r="E12" s="19" t="s">
        <v>137</v>
      </c>
      <c r="F12" s="19" t="s">
        <v>136</v>
      </c>
      <c r="G12" s="35" t="s">
        <v>9</v>
      </c>
      <c r="H12" s="19" t="s">
        <v>16</v>
      </c>
      <c r="I12" s="38" t="s">
        <v>70</v>
      </c>
    </row>
  </sheetData>
  <hyperlinks>
    <hyperlink ref="B1" location="BugList!A1" display="To Buglist" xr:uid="{6F980733-6528-424B-B45A-75D8EB680571}"/>
    <hyperlink ref="A1" r:id="rId1" xr:uid="{79014417-D33A-48E5-ABCD-22679886FC3B}"/>
    <hyperlink ref="I9" r:id="rId2" xr:uid="{24F2C39C-A2BF-4E1D-BEC4-DB37E8FBD3D9}"/>
    <hyperlink ref="I10" r:id="rId3" xr:uid="{E5BA72D2-91F9-470C-A182-B694505EAA04}"/>
    <hyperlink ref="I11" r:id="rId4" xr:uid="{AE3A4F13-1BDE-4CB0-852A-ED458A6944D6}"/>
    <hyperlink ref="I12" r:id="rId5" xr:uid="{B9092595-C182-4014-8309-32004122821E}"/>
    <hyperlink ref="I9:I12" r:id="rId6" display="E2E_login_20260517_213426_5_.png" xr:uid="{AA14C026-3BC7-4CAE-A88E-E9CEB146D70C}"/>
  </hyperlinks>
  <pageMargins left="0.7" right="0.7" top="0.75" bottom="0.75" header="0.3" footer="0.3"/>
  <pageSetup orientation="portrait" r:id="rId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C36A3-A34C-4DBA-AF2D-BF8F96A0B921}">
  <dimension ref="A1:I15"/>
  <sheetViews>
    <sheetView topLeftCell="A9" workbookViewId="0">
      <selection activeCell="A13" sqref="A13:E15"/>
    </sheetView>
  </sheetViews>
  <sheetFormatPr defaultRowHeight="13"/>
  <cols>
    <col min="1" max="1" width="15.6328125" customWidth="1"/>
    <col min="2" max="2" width="12" customWidth="1"/>
    <col min="3" max="3" width="19.90625" customWidth="1"/>
    <col min="4" max="4" width="28.08984375" customWidth="1"/>
    <col min="5" max="5" width="29.453125" customWidth="1"/>
    <col min="6" max="6" width="22.36328125" customWidth="1"/>
    <col min="7" max="7" width="5.54296875" bestFit="1" customWidth="1"/>
    <col min="9" max="9" width="15.6328125" customWidth="1"/>
  </cols>
  <sheetData>
    <row r="1" spans="1:9" ht="14.5">
      <c r="A1" s="18" t="s">
        <v>22</v>
      </c>
      <c r="B1" s="4" t="s">
        <v>0</v>
      </c>
      <c r="C1" s="4"/>
      <c r="D1" s="5" t="str">
        <f>"Pass: "&amp;COUNTIF(G5:G15,"Pass")</f>
        <v>Pass: 10</v>
      </c>
      <c r="E1" s="6" t="str">
        <f>"Untested: "&amp;COUNTIF(G5:G15,"Untest")</f>
        <v>Untested: 0</v>
      </c>
      <c r="F1" s="7"/>
      <c r="G1" s="7"/>
      <c r="H1" s="8"/>
    </row>
    <row r="2" spans="1:9">
      <c r="A2" s="9" t="s">
        <v>1</v>
      </c>
      <c r="B2" s="10" t="s">
        <v>5</v>
      </c>
      <c r="C2" s="10"/>
      <c r="D2" s="5" t="str">
        <f>"Fail: "&amp;COUNTIF(G5:G15,"Fail")</f>
        <v>Fail: 1</v>
      </c>
      <c r="E2" s="6" t="str">
        <f>"N/A: "&amp;COUNTIF(G5:G15,"N/A")</f>
        <v>N/A: 0</v>
      </c>
      <c r="F2" s="7"/>
      <c r="G2" s="7"/>
      <c r="H2" s="8"/>
    </row>
    <row r="3" spans="1:9" ht="20">
      <c r="A3" s="20" t="s">
        <v>2</v>
      </c>
      <c r="B3" s="20" t="s">
        <v>6</v>
      </c>
      <c r="C3" s="20"/>
      <c r="D3" s="21" t="str">
        <f>"Percent Complete: "&amp;IFERROR(ROUND((COUNTIF(G5:G15,"Pass")*100)/(COUNTA(G5:G15)-COUNTIF(G5:G15,"N/A")),2),0)&amp;"%"</f>
        <v>Percent Complete: 90.91%</v>
      </c>
      <c r="E3" s="22" t="str">
        <f>"Number of cases: "&amp;(COUNTA($A$5:$A$959))</f>
        <v>Number of cases: 11</v>
      </c>
      <c r="F3" s="11"/>
      <c r="G3" s="11"/>
      <c r="H3" s="8"/>
    </row>
    <row r="4" spans="1:9" ht="20">
      <c r="A4" s="23" t="s">
        <v>3</v>
      </c>
      <c r="B4" s="23" t="s">
        <v>25</v>
      </c>
      <c r="C4" s="23" t="s">
        <v>11</v>
      </c>
      <c r="D4" s="23" t="s">
        <v>12</v>
      </c>
      <c r="E4" s="23" t="s">
        <v>13</v>
      </c>
      <c r="F4" s="23" t="s">
        <v>14</v>
      </c>
      <c r="G4" s="23" t="s">
        <v>15</v>
      </c>
      <c r="H4" s="23" t="s">
        <v>4</v>
      </c>
      <c r="I4" s="23" t="s">
        <v>33</v>
      </c>
    </row>
    <row r="5" spans="1:9" ht="40">
      <c r="A5" s="19" t="str">
        <f>"[E2E_ThanhToan - " &amp; TEXT(ROW(A1),"00") &amp; "]"</f>
        <v>[E2E_ThanhToan - 01]</v>
      </c>
      <c r="B5" s="19" t="s">
        <v>28</v>
      </c>
      <c r="C5" s="31" t="s">
        <v>168</v>
      </c>
      <c r="D5" s="19" t="s">
        <v>166</v>
      </c>
      <c r="E5" s="19" t="s">
        <v>147</v>
      </c>
      <c r="F5" s="19" t="s">
        <v>147</v>
      </c>
      <c r="G5" s="19" t="s">
        <v>8</v>
      </c>
      <c r="H5" s="19" t="s">
        <v>16</v>
      </c>
      <c r="I5" s="33"/>
    </row>
    <row r="6" spans="1:9" ht="50">
      <c r="A6" s="19" t="str">
        <f t="shared" ref="A6:A15" si="0">"[E2E_ThanhToan - " &amp; TEXT(ROW(A2),"00") &amp; "]"</f>
        <v>[E2E_ThanhToan - 02]</v>
      </c>
      <c r="B6" s="19" t="s">
        <v>43</v>
      </c>
      <c r="C6" s="31" t="s">
        <v>168</v>
      </c>
      <c r="D6" s="19" t="s">
        <v>165</v>
      </c>
      <c r="E6" s="19" t="s">
        <v>148</v>
      </c>
      <c r="F6" s="19" t="s">
        <v>148</v>
      </c>
      <c r="G6" s="19" t="s">
        <v>8</v>
      </c>
      <c r="H6" s="19" t="s">
        <v>16</v>
      </c>
      <c r="I6" s="33"/>
    </row>
    <row r="7" spans="1:9" ht="43.5">
      <c r="A7" s="19" t="str">
        <f t="shared" si="0"/>
        <v>[E2E_ThanhToan - 03]</v>
      </c>
      <c r="B7" s="19" t="s">
        <v>44</v>
      </c>
      <c r="C7" s="31" t="s">
        <v>168</v>
      </c>
      <c r="D7" s="19" t="s">
        <v>164</v>
      </c>
      <c r="E7" s="19" t="s">
        <v>148</v>
      </c>
      <c r="F7" s="19" t="s">
        <v>147</v>
      </c>
      <c r="G7" s="35" t="s">
        <v>9</v>
      </c>
      <c r="H7" s="19" t="s">
        <v>16</v>
      </c>
      <c r="I7" s="38" t="s">
        <v>63</v>
      </c>
    </row>
    <row r="8" spans="1:9" ht="50">
      <c r="A8" s="19" t="str">
        <f t="shared" si="0"/>
        <v>[E2E_ThanhToan - 04]</v>
      </c>
      <c r="B8" s="19" t="s">
        <v>53</v>
      </c>
      <c r="C8" s="31" t="s">
        <v>168</v>
      </c>
      <c r="D8" s="19" t="s">
        <v>163</v>
      </c>
      <c r="E8" s="19" t="s">
        <v>148</v>
      </c>
      <c r="F8" s="19" t="s">
        <v>148</v>
      </c>
      <c r="G8" s="19" t="s">
        <v>8</v>
      </c>
      <c r="H8" s="19" t="s">
        <v>16</v>
      </c>
      <c r="I8" s="33"/>
    </row>
    <row r="9" spans="1:9" ht="50">
      <c r="A9" s="19" t="str">
        <f t="shared" si="0"/>
        <v>[E2E_ThanhToan - 05]</v>
      </c>
      <c r="B9" s="19" t="s">
        <v>78</v>
      </c>
      <c r="C9" s="31" t="s">
        <v>168</v>
      </c>
      <c r="D9" s="19" t="s">
        <v>162</v>
      </c>
      <c r="E9" s="19" t="s">
        <v>148</v>
      </c>
      <c r="F9" s="19" t="s">
        <v>148</v>
      </c>
      <c r="G9" s="19" t="s">
        <v>8</v>
      </c>
      <c r="H9" s="19" t="s">
        <v>16</v>
      </c>
      <c r="I9" s="33"/>
    </row>
    <row r="10" spans="1:9" ht="40">
      <c r="A10" s="19" t="str">
        <f t="shared" si="0"/>
        <v>[E2E_ThanhToan - 06]</v>
      </c>
      <c r="B10" s="19" t="s">
        <v>26</v>
      </c>
      <c r="C10" s="31" t="s">
        <v>168</v>
      </c>
      <c r="D10" s="19" t="s">
        <v>161</v>
      </c>
      <c r="E10" s="19" t="s">
        <v>149</v>
      </c>
      <c r="F10" s="19" t="s">
        <v>149</v>
      </c>
      <c r="G10" s="19" t="s">
        <v>8</v>
      </c>
      <c r="H10" s="19" t="s">
        <v>16</v>
      </c>
      <c r="I10" s="33"/>
    </row>
    <row r="11" spans="1:9" ht="40">
      <c r="A11" s="19" t="str">
        <f t="shared" si="0"/>
        <v>[E2E_ThanhToan - 07]</v>
      </c>
      <c r="B11" s="19" t="s">
        <v>27</v>
      </c>
      <c r="C11" s="31" t="s">
        <v>168</v>
      </c>
      <c r="D11" s="19" t="s">
        <v>160</v>
      </c>
      <c r="E11" s="19" t="s">
        <v>149</v>
      </c>
      <c r="F11" s="19" t="s">
        <v>149</v>
      </c>
      <c r="G11" s="19" t="s">
        <v>8</v>
      </c>
      <c r="H11" s="19" t="s">
        <v>16</v>
      </c>
      <c r="I11" s="33"/>
    </row>
    <row r="12" spans="1:9" ht="40">
      <c r="A12" s="19" t="str">
        <f t="shared" si="0"/>
        <v>[E2E_ThanhToan - 08]</v>
      </c>
      <c r="B12" s="19" t="s">
        <v>54</v>
      </c>
      <c r="C12" s="31" t="s">
        <v>168</v>
      </c>
      <c r="D12" s="19" t="s">
        <v>159</v>
      </c>
      <c r="E12" s="19" t="s">
        <v>150</v>
      </c>
      <c r="F12" s="19" t="s">
        <v>151</v>
      </c>
      <c r="G12" s="19" t="s">
        <v>8</v>
      </c>
      <c r="H12" s="19" t="s">
        <v>16</v>
      </c>
      <c r="I12" s="33"/>
    </row>
    <row r="13" spans="1:9" ht="40">
      <c r="A13" s="19" t="str">
        <f t="shared" si="0"/>
        <v>[E2E_ThanhToan - 09]</v>
      </c>
      <c r="B13" s="19" t="s">
        <v>55</v>
      </c>
      <c r="C13" s="31" t="s">
        <v>168</v>
      </c>
      <c r="D13" s="19" t="s">
        <v>158</v>
      </c>
      <c r="E13" s="19" t="s">
        <v>152</v>
      </c>
      <c r="F13" s="19" t="s">
        <v>151</v>
      </c>
      <c r="G13" s="19" t="s">
        <v>8</v>
      </c>
      <c r="H13" s="19" t="s">
        <v>16</v>
      </c>
      <c r="I13" s="33"/>
    </row>
    <row r="14" spans="1:9" ht="40">
      <c r="A14" s="19" t="str">
        <f t="shared" si="0"/>
        <v>[E2E_ThanhToan - 10]</v>
      </c>
      <c r="B14" s="19" t="s">
        <v>56</v>
      </c>
      <c r="C14" s="31" t="s">
        <v>168</v>
      </c>
      <c r="D14" s="19" t="s">
        <v>156</v>
      </c>
      <c r="E14" s="19" t="s">
        <v>153</v>
      </c>
      <c r="F14" s="19" t="s">
        <v>151</v>
      </c>
      <c r="G14" s="19" t="s">
        <v>8</v>
      </c>
      <c r="H14" s="19" t="s">
        <v>16</v>
      </c>
      <c r="I14" s="33"/>
    </row>
    <row r="15" spans="1:9" ht="40">
      <c r="A15" s="19" t="str">
        <f t="shared" si="0"/>
        <v>[E2E_ThanhToan - 11]</v>
      </c>
      <c r="B15" s="19" t="s">
        <v>51</v>
      </c>
      <c r="C15" s="31" t="s">
        <v>168</v>
      </c>
      <c r="D15" s="19" t="s">
        <v>157</v>
      </c>
      <c r="E15" s="19" t="s">
        <v>154</v>
      </c>
      <c r="F15" s="19" t="s">
        <v>155</v>
      </c>
      <c r="G15" s="19" t="s">
        <v>8</v>
      </c>
      <c r="H15" s="19" t="s">
        <v>16</v>
      </c>
      <c r="I15" s="33"/>
    </row>
  </sheetData>
  <hyperlinks>
    <hyperlink ref="B1" location="BugList!A1" display="To Buglist" xr:uid="{40AD8936-CBB9-4362-A17D-56DF430C38DE}"/>
    <hyperlink ref="A1" r:id="rId1" xr:uid="{BFD4DF51-BA15-4F62-A431-6076A5C1829F}"/>
    <hyperlink ref="I7" r:id="rId2" xr:uid="{76EFCAE4-3F8D-465B-B672-68EBF140DE3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TC_DangNhap</vt:lpstr>
      <vt:lpstr>TC_DangKy</vt:lpstr>
      <vt:lpstr>TC_TimKiemSP</vt:lpstr>
      <vt:lpstr>Tổng hợp</vt:lpstr>
      <vt:lpstr>TC_ThanhToan</vt:lpstr>
      <vt:lpstr>TC_SuaTT</vt:lpstr>
      <vt:lpstr>TC_E2E_MuaHang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Dell</cp:lastModifiedBy>
  <dcterms:created xsi:type="dcterms:W3CDTF">2024-05-03T07:38:53Z</dcterms:created>
  <dcterms:modified xsi:type="dcterms:W3CDTF">2026-05-25T06:24:21Z</dcterms:modified>
</cp:coreProperties>
</file>