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AnTotNghiep_NguyenQuyen_10122312\docx\"/>
    </mc:Choice>
  </mc:AlternateContent>
  <xr:revisionPtr revIDLastSave="0" documentId="13_ncr:1_{AC554F5B-A753-42C8-A25B-5F41846B8FF0}" xr6:coauthVersionLast="36" xr6:coauthVersionMax="36" xr10:uidLastSave="{00000000-0000-0000-0000-000000000000}"/>
  <bookViews>
    <workbookView xWindow="0" yWindow="0" windowWidth="23040" windowHeight="9190" tabRatio="455" firstSheet="1" activeTab="4" xr2:uid="{00000000-000D-0000-FFFF-FFFF00000000}"/>
  </bookViews>
  <sheets>
    <sheet name="TC_DangNhap" sheetId="1" r:id="rId1"/>
    <sheet name="TC_DangKy" sheetId="2" r:id="rId2"/>
    <sheet name="TC_TimKiemSP" sheetId="4" r:id="rId3"/>
    <sheet name="TC_ThanhToan" sheetId="6" r:id="rId4"/>
    <sheet name="TC_SuaTT" sheetId="8" r:id="rId5"/>
  </sheets>
  <externalReferences>
    <externalReference r:id="rId6"/>
  </externalReferences>
  <definedNames>
    <definedName name="ACTION">#REF!</definedName>
    <definedName name="ACTION_1">#REF!</definedName>
    <definedName name="Excel_BuiltIn__FilterDatabase">#REF!</definedName>
    <definedName name="Excel_BuiltIn__FilterDatabase_1">#REF!</definedName>
    <definedName name="OLE_LINK31">'[1]Home page'!#REF!</definedName>
    <definedName name="OLE_LINK41">'[1]Home page'!#REF!</definedName>
    <definedName name="OLE_LINK43">'[1]Home page'!#REF!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6" l="1"/>
  <c r="A8" i="6"/>
  <c r="A9" i="6"/>
  <c r="A6" i="1"/>
  <c r="A7" i="1"/>
  <c r="A8" i="1"/>
  <c r="A9" i="1"/>
  <c r="A5" i="1"/>
  <c r="D2" i="6" l="1"/>
  <c r="D1" i="6"/>
  <c r="A6" i="8" l="1"/>
  <c r="A7" i="8"/>
  <c r="A8" i="8"/>
  <c r="A9" i="8"/>
  <c r="A10" i="8"/>
  <c r="A5" i="8"/>
  <c r="D1" i="1" l="1"/>
  <c r="A6" i="6" l="1"/>
  <c r="E2" i="8" l="1"/>
  <c r="D2" i="8"/>
  <c r="E1" i="8"/>
  <c r="D1" i="8"/>
  <c r="D3" i="8" l="1"/>
  <c r="E3" i="8"/>
  <c r="A7" i="4"/>
  <c r="A8" i="4"/>
  <c r="A9" i="4"/>
  <c r="A10" i="4"/>
  <c r="A6" i="4" l="1"/>
  <c r="A5" i="4"/>
  <c r="D2" i="2" l="1"/>
  <c r="D1" i="2"/>
  <c r="D2" i="1"/>
  <c r="A5" i="6"/>
  <c r="A6" i="2"/>
  <c r="A7" i="2"/>
  <c r="A8" i="2"/>
  <c r="A9" i="2"/>
  <c r="A10" i="2"/>
  <c r="A11" i="2"/>
  <c r="A12" i="2"/>
  <c r="A5" i="2"/>
  <c r="E3" i="1" l="1"/>
  <c r="D3" i="1"/>
  <c r="D2" i="4"/>
  <c r="D1" i="4"/>
  <c r="E3" i="6" l="1"/>
  <c r="D3" i="6"/>
  <c r="E2" i="6"/>
  <c r="E1" i="6"/>
  <c r="E3" i="4" l="1"/>
  <c r="D3" i="4"/>
  <c r="E2" i="4"/>
  <c r="E1" i="4"/>
  <c r="E3" i="2"/>
  <c r="D3" i="2"/>
  <c r="E2" i="2"/>
  <c r="E1" i="2"/>
  <c r="E2" i="1" l="1"/>
  <c r="E1" i="1"/>
</calcChain>
</file>

<file path=xl/sharedStrings.xml><?xml version="1.0" encoding="utf-8"?>
<sst xmlns="http://schemas.openxmlformats.org/spreadsheetml/2006/main" count="284" uniqueCount="107">
  <si>
    <t>To Buglist</t>
  </si>
  <si>
    <t>Module Code</t>
  </si>
  <si>
    <t>Tester</t>
  </si>
  <si>
    <t>ID</t>
  </si>
  <si>
    <t>Note</t>
  </si>
  <si>
    <t>WithDraw</t>
  </si>
  <si>
    <t>Nguyen Thi Quyen</t>
  </si>
  <si>
    <t>Người dùng đã có tài khoản, chưa đăng nhập</t>
  </si>
  <si>
    <t xml:space="preserve">Người dùng chưa có tài khoản để đăng nhập vào hệ thống </t>
  </si>
  <si>
    <t>Người dùng đã truy cập vào trang web</t>
  </si>
  <si>
    <t>Người dùng truy cập vào trang web</t>
  </si>
  <si>
    <t>Pass</t>
  </si>
  <si>
    <t>Fail</t>
  </si>
  <si>
    <t>Người dùng đã đăng nhập vào trang web</t>
  </si>
  <si>
    <t xml:space="preserve">Test Case Description   </t>
  </si>
  <si>
    <t xml:space="preserve">Pre -Condition             </t>
  </si>
  <si>
    <t xml:space="preserve">Test Case Procedure                                                      </t>
  </si>
  <si>
    <t xml:space="preserve">Expected Output </t>
  </si>
  <si>
    <t xml:space="preserve">Actual results </t>
  </si>
  <si>
    <t xml:space="preserve">Status </t>
  </si>
  <si>
    <t>Auto</t>
  </si>
  <si>
    <t>Bỏ trống mật khẩu</t>
  </si>
  <si>
    <t>Bỏ trống email</t>
  </si>
  <si>
    <t>Nhập email, sai mật khẩu</t>
  </si>
  <si>
    <t>Email sai, password đúng</t>
  </si>
  <si>
    <t>Email, mật khẩu đúng</t>
  </si>
  <si>
    <t>bỏ trống email</t>
  </si>
  <si>
    <t>bỏ trống mật khẩu</t>
  </si>
  <si>
    <t>Test_Report</t>
  </si>
  <si>
    <t>Tìm kiếm sản phẩm theo từ khóa một phần</t>
  </si>
  <si>
    <t>Tìm kiếm với ký tự đặc biệt</t>
  </si>
  <si>
    <t xml:space="preserve">Test Case Description              </t>
  </si>
  <si>
    <t>Trống SDT</t>
  </si>
  <si>
    <t>Trống địa chỉ</t>
  </si>
  <si>
    <t>Đặt hàng thành công</t>
  </si>
  <si>
    <t>Hệ thống không thông báo lỗi và cập nhật</t>
  </si>
  <si>
    <t>Bỏ trống sdt</t>
  </si>
  <si>
    <t>Bỏ trống họ tên</t>
  </si>
  <si>
    <t>Hệ thống cập nhật thành công</t>
  </si>
  <si>
    <t xml:space="preserve">Expected Output 
</t>
  </si>
  <si>
    <t xml:space="preserve">Actual results 
</t>
  </si>
  <si>
    <t>ScreenShot</t>
  </si>
  <si>
    <t>B1: Truy cập vào website https://ella.vn
B2: Chọn chức năng đăng nhập
B3: Nhập Email: tuyetmai99@gmail.com
B4: Nhập password:
B5: Nhấn "Đăng nhập"</t>
  </si>
  <si>
    <t>B1: Truy cập vào website https://ella.vn
B2: Chọn chức năng đăng nhập
B3: Nhập Email: ngvanhoan@gmail.com
B4: Nhập password: 123456789
B5: Nhấn "Đăng nhập"</t>
  </si>
  <si>
    <t>B1: Truy cập vào website https://ella.vn
B2: Chọn chức năng đăng nhập
B3: Nhập Email: ngvanhoan
B4: Nhập password: ngvanhoan
B5: Nhấn "Đăng nhập"</t>
  </si>
  <si>
    <t>B1: Truy cập vào website https://ella.vn
B2: Chọn chức năng đăng nhập
B3: Bỏ trống Email
B4: Nhập password: 123456789
B5: Nhấn "Đăng nhập"</t>
  </si>
  <si>
    <t>B1: Truy cập vào website https://ella.vn
B2: Chọn chức năng đăng nhập
B3: Nhập Email:ngvanhoan@gmail.com
B4: Nhập password: ngvanhoan
B5: Nhấn "Đăng nhập"</t>
  </si>
  <si>
    <t>Email đã sử dụng</t>
  </si>
  <si>
    <t xml:space="preserve">B1: Truy cập vào website https://ella.vn/
B2: Chọn chức năng đăng ký
B3: Nhập email: ngminhtu@gmail.com
B4: Nhập mật khẩu: ngminhtu
B5: Nhập xác nhânh mật khẩu: ngminhtu
B6: Nhấn "Đăng ký" </t>
  </si>
  <si>
    <t xml:space="preserve">Hiển thị trang chủ Ella
Hiển thị giao diện đăng nhập
Thông báo lỗi và yêu cầu nhập lại. "Tài khoản hoặc mật khẩu không chính xác"
</t>
  </si>
  <si>
    <t xml:space="preserve">Hiển thị trang chủ Ella
Hiển thị giao diện đăng nhập
Thông báo lỗi và yêu cầu nhập lại. "Vui lòng điền vào trường này"
</t>
  </si>
  <si>
    <t xml:space="preserve">Hiển thị trang chủ Ella
Hiển thị giao diện đăng nhập
Chuyển hướng đến trang chủ
Cập nhật tên tài khoản </t>
  </si>
  <si>
    <t>Hiển thị trang chủ Ella
Hiển thị giao diện đăng nhập
Chuyển hướng đến trang chủ
Cập nhật "Tài khoản"</t>
  </si>
  <si>
    <t>Hiển thị trang chủ Ella
Hiển thị giao diện đăng ký
Thông báo lỗi "Email đã được sử dụng"</t>
  </si>
  <si>
    <t>Hiển thị trang chủ Ella
Hiển thị giao diện đăng ký
Thông báo lỗi "Vui lòng điền vào trường này"</t>
  </si>
  <si>
    <t xml:space="preserve">B1: Truy cập vào website https://debac.vn/
B2: Chọn chức năng đăng ký
B3: Nhập email: 
B4: Nhập mật khẩu: ngminhtu
B5: Nhập xác nhânh mật khẩu: ngminhtu
B6: Nhấn "Đăng ký" </t>
  </si>
  <si>
    <t xml:space="preserve">B1: Truy cập vào website https://debac.vn/
B2: Chọn chức năng đăng ký
B3: Nhập email: ngminhtu@gmail.com
B4: Nhập mật khẩu: 
B5: Nhập xác nhânh mật khẩu: ngminhtu
B6: Nhấn "Đăng ký" </t>
  </si>
  <si>
    <t xml:space="preserve">B1: Truy cập vào website https://debac.vn/
B2: Chọn chức năng đăng ký
B3: Nhập email: ngminhtu@gmail.com
B4: Nhập mật khẩu: ngminhtu
B5: Nhập xác nhânh mật khẩu: 
B6: Nhấn "Đăng ký" </t>
  </si>
  <si>
    <t>bỏ trống xác nhận mật khẩu</t>
  </si>
  <si>
    <t>email thiếu @</t>
  </si>
  <si>
    <t xml:space="preserve">B1: Truy cập vào website https://debac.vn/
B2: Chọn chức năng đăng ký
B3: Nhập email: ngminhtu.com
B4: Nhập mật khẩu: ngminhtu
B5: Nhập xác nhânh mật khẩu: ngminhtu
B6: Nhấn "Đăng ký" </t>
  </si>
  <si>
    <t>Hiển thị trang chủ Ella
Hiển thị giao diện đăng ký
Thông báo "Vui lòng"</t>
  </si>
  <si>
    <t>email thiếu sau @</t>
  </si>
  <si>
    <t xml:space="preserve">B1: Truy cập vào website https://debac.vn/
B2: Chọn chức năng đăng ký
B3: Nhập email: ngminhtu@
B4: Nhập mật khẩu: ngminhtu
B5: Nhập xác nhânh mật khẩu: ngminhtu
B6: Nhấn "Đăng ký" </t>
  </si>
  <si>
    <t>Mật khẩu &lt; 6 ký tự</t>
  </si>
  <si>
    <t xml:space="preserve">B1: Truy cập vào website https://debac.vn/
B2: Chọn chức năng đăng ký
B3: Nhập email: ngminhtu@gmail.com
B4: Nhập mật khẩu: ngmi
B5: Nhập xác nhânh mật khẩu: ngmi
B6: Nhấn "Đăng ký" </t>
  </si>
  <si>
    <t>Hiển thị trang chủ Ella
Hiển thị giao diện đăng ký
Thông báo lỗi "Mật khẩu tối thiểu phải có 6 ký tự"</t>
  </si>
  <si>
    <t>xác nhận mật khẩu không khớp với mật khẩu</t>
  </si>
  <si>
    <t xml:space="preserve">B1: Truy cập vào website https://debac.vn/
B2: Chọn chức năng đăng ký
B3: Nhập email: ngminhtu@gmail
B4: Nhập mật khẩu: ngminhtu
B5: Nhập xác nhânh mật khẩu: ngminht
B6: Nhấn "Đăng ký" </t>
  </si>
  <si>
    <t>Hiển thị trang chủ Ella
Hiển thị giao diện đăng ký
Thông báo lỗi "Xác nhận mật khẩu không khớp với mật khẩu"</t>
  </si>
  <si>
    <t>Hiển thị trang chủ Ella
Hiển thị giao diện đăng ký
Đăng ký thành công</t>
  </si>
  <si>
    <t xml:space="preserve">B1: Truy cập vào website https://ella.vn/
B2: Click vào thanh tìm kiếm
B3: Nhập: cao gót 7cm
B4: Nhấn Enter hoặc biểu tượng tìm kiếm
</t>
  </si>
  <si>
    <t>Hệ thống hiện danh sách sản phẩm chứa "cao gót 7cm"</t>
  </si>
  <si>
    <t>Tìm kiếm sản phẩm theo mã sản phẩm</t>
  </si>
  <si>
    <t xml:space="preserve">B1: Truy cập vào website https://ella.vn/
B2: Click vào thanh tìm kiếm
B3: Nhập: ELA301 
B4: Nhấn Enter hoặc biểu tượng tìm kiếm
</t>
  </si>
  <si>
    <t>Hệ thống hiện  sản phẩm chứa từ khóa "ELA301"</t>
  </si>
  <si>
    <t>Tìm kiếm sản phẩm với tên đầy đủ</t>
  </si>
  <si>
    <t xml:space="preserve">B1: Truy cập vào website https://ella.vn/
B2: Click vào thanh tìm kiếm
B3: Nhập: Giày sandal công sở ELLA 7cm thanh lịch cuốn hút ELA662
B4: Nhấn Enter hoặc biểu tượng tìm kiếm
</t>
  </si>
  <si>
    <t>Hiển thị duy nhất 1 sản phẩm có tên "Giày sandal công sở ELLA 7cm thanh lịch cuốn hút ELA662"</t>
  </si>
  <si>
    <t xml:space="preserve">B1: Truy cập vào website https://ella.vn/
B2: Click vào thanh tìm kiếm
B3: Nhập: !@#$
B4: Nhấn Enter hoặc biểu tượng tìm kiếm
</t>
  </si>
  <si>
    <t>Hệ thống hiện danh sách sản phẩm ngẫu nhiên</t>
  </si>
  <si>
    <t xml:space="preserve">Bỏ trống </t>
  </si>
  <si>
    <t xml:space="preserve">B1: Truy cập vào website https://ella.vn/
B2: Click vào thanh tìm kiếm
B3: Nhập: 
B4: Nhấn Enter hoặc biểu tượng tìm kiếm
</t>
  </si>
  <si>
    <t>Hệ thống hiện thông báo "Vui lòng điền vào trường này"</t>
  </si>
  <si>
    <t>Tìm kiếm với từ khóa không có trong sản phẩm</t>
  </si>
  <si>
    <t xml:space="preserve">B1: Truy cập vào website https://ella.vn/
B2: Click vào thanh tìm kiếm
B3: Nhập: móng
B4: Nhấn Enter hoặc biểu tượng tìm kiếm
</t>
  </si>
  <si>
    <t>Hệ thống không hiện sản phẩm nào</t>
  </si>
  <si>
    <t>Sai số điện thoại &lt;10 số</t>
  </si>
  <si>
    <t>Sai số điện thoại &gt;10 số</t>
  </si>
  <si>
    <t xml:space="preserve">B1: Truy cập vào website https://ella.vn/
B2: Chọn sản phẩm
B3: Chọn "Thêm vào giỏ"
B4: Nhập họ tên: Linh
B5: Nhập Số điện thoại: 0123456789
B6: Nhập email: linhnguyen@gmail.com
B7: Nhập địa chỉ: 123 Main St, City
B8: Nhập ghi chú: Giao giờ hành chính
B9: Nhấn "Thanh toán" 
</t>
  </si>
  <si>
    <t>Hệ thống thông báo "Đơn hàng của bạn đã được gửi đi"</t>
  </si>
  <si>
    <t xml:space="preserve">B1: Truy cập vào website https://ella.vn/
B2: Chọn sản phẩm
B3: Chọn "Thêm vào giỏ"
B4: Nhập họ tên: Linh
B5: Nhập Số điện thoại: 
B6: Nhập email: linhnguyen@gmail.com
B7: Nhập địa chỉ: 123 Main St, City
B8: Nhập ghi chú: Giao giờ hành chính
B9: Nhấn "Thanh toán" 
</t>
  </si>
  <si>
    <t>Hệ thống thông báo "Vui lòng điền vào trường này"</t>
  </si>
  <si>
    <t xml:space="preserve">B1: Truy cập vào website https://ella.vn/
B2: Chọn sản phẩm
B3: Chọn "Thêm vào giỏ"
B4: Nhập họ tên: Linh
B5: Nhập Số điện thoại: 0123456789
B6: Nhập email: linhnguyen@gmail.com
B7: Nhập địa chỉ: 
B8: Nhập ghi chú: Giao giờ hành chính
B9: Nhấn "Thanh toán" 
</t>
  </si>
  <si>
    <t xml:space="preserve">B1: Truy cập vào website https://ella.vn/
B2: Chọn sản phẩm
B3: Chọn "Thêm vào giỏ"
B4: Nhập họ tên: Linh
B5: Nhập Số điện thoại: 012345678999
B6: Nhập email: linhnguyen@gmail.com
B7: Nhập địa chỉ: 123 Main St, City
B8: Nhập ghi chú: Giao giờ hành chính
B9: Nhấn "Thanh toán" 
</t>
  </si>
  <si>
    <t>Hệ thống thông báo "Vui lòng nhập ít nhất một số điện thoại bạn đang sử dụng"</t>
  </si>
  <si>
    <t>cập nhật thành công</t>
  </si>
  <si>
    <t xml:space="preserve">B1: Truy cập vào website https://ella.vn/
B2: Đăng nhập tài khoản
B3: Chọn Tài khoản
B4: Nhập Họ và tên: Hoang Nguyen
B5: Nhập SDT: 0123456789
B6: Địa chỉ: 123 Main St, Hanoi
B7: Nhấn Cập nhật
</t>
  </si>
  <si>
    <t>Hệ thống thông báo "Cập nhật thông tin tài khoản thành công"</t>
  </si>
  <si>
    <t xml:space="preserve">B1: Truy cập vào website https://ella.vn/
B2: Đăng nhập tài khoản
B3: Chọn Tài khoản
B4: Nhập Họ và tên: Hoang Nguyen
B5: Nhập SDT: 
B6: Địa chỉ: 123 Main St, Hanoi
B7: Nhấn Cập nhật
</t>
  </si>
  <si>
    <t xml:space="preserve">B1: Truy cập vào website https://ella.vn/
B2: Đăng nhập tài khoản
B3: Chọn Tài khoản
B4: Nhập Họ và tên:
B5: Nhập SDT: 0123456789
B6: Địa chỉ: 123 Main St, Hanoi
B7: Nhấn Cập nhật
</t>
  </si>
  <si>
    <t>Bỏ trống địa chỉ</t>
  </si>
  <si>
    <t xml:space="preserve">B1: Truy cập vào website https://ella.vn/
B2: Đăng nhập tài khoản
B3: Chọn Tài khoản
B4: Nhập Họ và tên: Hoang Nguyen
B5: Nhập SDT: 0123456789
B6: Địa chỉ:
B7: Nhấn Cập nhật
</t>
  </si>
  <si>
    <t>Số điện thoại &gt;10 số</t>
  </si>
  <si>
    <t>Số điện thoại &lt; 10 số</t>
  </si>
  <si>
    <t xml:space="preserve">B1: Truy cập vào website https://ella.vn/
B2: Đăng nhập tài khoản
B3: Chọn Tài khoản
B4: Nhập Họ và tên: Hoang Nguyen
B5: Nhập SDT: 012345678999
B6: Địa chỉ: 123 Main St, Hanoi
B7: Nhấn Cập nhật
</t>
  </si>
  <si>
    <t xml:space="preserve">B1: Truy cập vào website https://ella.vn/
B2: Đăng nhập tài khoản
B3: Chọn Tài khoản
B4: Nhập Họ và tên: Hoang Nguyen
B5: Nhập SDT: 01234
B6: Địa chỉ: 123 Main St, Hanoi
B7: Nhấn Cập nhật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</si>
</sst>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family val="2"/>
      <charset val="128"/>
    </font>
    <font>
      <u/>
      <sz val="11"/>
      <color indexed="12"/>
      <name val="ＭＳ Ｐゴシック"/>
      <family val="3"/>
      <charset val="128"/>
    </font>
    <font>
      <b/>
      <u/>
      <sz val="8"/>
      <color indexed="12"/>
      <name val="Tahoma"/>
      <family val="2"/>
    </font>
    <font>
      <sz val="11"/>
      <name val="ＭＳ Ｐゴシック"/>
      <family val="2"/>
      <charset val="128"/>
    </font>
    <font>
      <sz val="8"/>
      <name val="Tahoma"/>
      <family val="2"/>
    </font>
    <font>
      <b/>
      <sz val="8"/>
      <name val="Tahoma"/>
      <family val="2"/>
    </font>
    <font>
      <b/>
      <sz val="8"/>
      <color indexed="9"/>
      <name val="Tahoma"/>
      <family val="2"/>
    </font>
    <font>
      <sz val="10"/>
      <name val="Arial"/>
      <family val="2"/>
    </font>
    <font>
      <u/>
      <sz val="11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indexed="18"/>
        <bgColor indexed="32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7" fillId="0" borderId="0"/>
  </cellStyleXfs>
  <cellXfs count="39">
    <xf numFmtId="0" fontId="0" fillId="0" borderId="0" xfId="0"/>
    <xf numFmtId="0" fontId="4" fillId="0" borderId="0" xfId="0" applyFont="1"/>
    <xf numFmtId="0" fontId="4" fillId="0" borderId="0" xfId="0" applyFont="1" applyFill="1"/>
    <xf numFmtId="0" fontId="4" fillId="0" borderId="0" xfId="0" applyFont="1" applyAlignment="1">
      <alignment wrapText="1"/>
    </xf>
    <xf numFmtId="0" fontId="2" fillId="2" borderId="1" xfId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 wrapText="1"/>
    </xf>
    <xf numFmtId="2" fontId="4" fillId="2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0" xfId="0" applyFont="1" applyFill="1" applyAlignment="1">
      <alignment vertical="center" wrapText="1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vertical="center" wrapText="1"/>
    </xf>
    <xf numFmtId="0" fontId="5" fillId="2" borderId="3" xfId="2" applyFont="1" applyFill="1" applyBorder="1" applyAlignment="1">
      <alignment horizontal="left" vertical="center" wrapText="1"/>
    </xf>
    <xf numFmtId="0" fontId="4" fillId="2" borderId="3" xfId="0" applyNumberFormat="1" applyFont="1" applyFill="1" applyBorder="1" applyAlignment="1">
      <alignment horizontal="left" vertical="center" wrapText="1"/>
    </xf>
    <xf numFmtId="2" fontId="4" fillId="2" borderId="3" xfId="0" applyNumberFormat="1" applyFont="1" applyFill="1" applyBorder="1" applyAlignment="1">
      <alignment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0" fontId="6" fillId="3" borderId="4" xfId="2" applyFont="1" applyFill="1" applyBorder="1" applyAlignment="1">
      <alignment horizontal="center" wrapText="1"/>
    </xf>
    <xf numFmtId="0" fontId="4" fillId="0" borderId="4" xfId="0" quotePrefix="1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8" fillId="0" borderId="4" xfId="1" applyFont="1" applyBorder="1" applyAlignment="1">
      <alignment vertical="center"/>
    </xf>
    <xf numFmtId="0" fontId="8" fillId="0" borderId="4" xfId="1" applyFont="1" applyBorder="1"/>
  </cellXfs>
  <cellStyles count="4">
    <cellStyle name="Hyperlink" xfId="1" builtinId="8"/>
    <cellStyle name="Normal" xfId="0" builtinId="0"/>
    <cellStyle name="Normal 2" xfId="3" xr:uid="{3A7D6D71-9535-47B5-9A5E-B65727F82A19}"/>
    <cellStyle name="Normal_Sheet1" xfId="2" xr:uid="{00000000-0005-0000-0000-000002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esktop\Sample_Test%20C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st report"/>
      <sheetName val="Hybrid"/>
      <sheetName val="Home page"/>
      <sheetName val="ER"/>
      <sheetName val="Find a Doctor"/>
      <sheetName val="MFM-Login"/>
      <sheetName val="MFM-ForgotPassword"/>
      <sheetName val="MFM-CreateAcct"/>
      <sheetName val="MFM-ChangePassword"/>
      <sheetName val="MFM-CreateProfile"/>
      <sheetName val="MFM-DashboardDeleteAcct"/>
      <sheetName val="MFM-ViewEditDeleteProfile"/>
      <sheetName val="ECH Resources"/>
      <sheetName val="ECH news"/>
      <sheetName val="Visiting EC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reports\test_report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reports\test_report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\reports\test_report.xls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..\reports\test_report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\reports\test_repor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100" workbookViewId="0">
      <selection activeCell="D11" sqref="D11"/>
    </sheetView>
  </sheetViews>
  <sheetFormatPr defaultColWidth="9" defaultRowHeight="10"/>
  <cols>
    <col min="1" max="1" width="11.7265625" style="1" bestFit="1" customWidth="1"/>
    <col min="2" max="2" width="18.54296875" style="3" bestFit="1" customWidth="1"/>
    <col min="3" max="3" width="18" style="3" customWidth="1"/>
    <col min="4" max="4" width="33.36328125" style="3" bestFit="1" customWidth="1"/>
    <col min="5" max="6" width="30.36328125" style="3" customWidth="1"/>
    <col min="7" max="7" width="9.81640625" style="1" bestFit="1" customWidth="1"/>
    <col min="8" max="8" width="6.36328125" style="1" customWidth="1"/>
    <col min="9" max="16384" width="9" style="1"/>
  </cols>
  <sheetData>
    <row r="1" spans="1:8" ht="14.5">
      <c r="A1" s="19" t="s">
        <v>28</v>
      </c>
      <c r="B1" s="4" t="s">
        <v>0</v>
      </c>
      <c r="C1" s="4"/>
      <c r="D1" s="5" t="str">
        <f>"Pass: "&amp;COUNTIF(G5:G9,"Pass")</f>
        <v>Pass: 5</v>
      </c>
      <c r="E1" s="6" t="e">
        <f>"Untested: "&amp;COUNTIF(#REF!,"Untest")</f>
        <v>#REF!</v>
      </c>
      <c r="F1" s="7"/>
      <c r="G1" s="7"/>
      <c r="H1" s="13"/>
    </row>
    <row r="2" spans="1:8">
      <c r="A2" s="9" t="s">
        <v>1</v>
      </c>
      <c r="B2" s="10" t="s">
        <v>5</v>
      </c>
      <c r="C2" s="10"/>
      <c r="D2" s="5" t="str">
        <f>"Fail: "&amp;COUNTIF(G5:G6,"Fail")</f>
        <v>Fail: 0</v>
      </c>
      <c r="E2" s="6" t="e">
        <f>"N/A: "&amp;COUNTIF(#REF!,"N/A")</f>
        <v>#REF!</v>
      </c>
      <c r="F2" s="7"/>
      <c r="G2" s="7"/>
      <c r="H2" s="13"/>
    </row>
    <row r="3" spans="1:8" ht="12.75" customHeight="1">
      <c r="A3" s="21" t="s">
        <v>2</v>
      </c>
      <c r="B3" s="21" t="s">
        <v>6</v>
      </c>
      <c r="C3" s="21"/>
      <c r="D3" s="22" t="e">
        <f>"Percent Complete: "&amp;ROUND((COUNTIF(#REF!,"Pass")*100)/((COUNTA($A$5:$A$963)*5)-COUNTIF(#REF!,"N/A")),2)&amp;"%"</f>
        <v>#REF!</v>
      </c>
      <c r="E3" s="23" t="str">
        <f>"Number of cases: "&amp;(COUNTA($A$5:$A$9))</f>
        <v>Number of cases: 5</v>
      </c>
      <c r="F3" s="11"/>
      <c r="G3" s="11"/>
      <c r="H3" s="13"/>
    </row>
    <row r="4" spans="1:8" ht="28.4" customHeight="1">
      <c r="A4" s="24" t="s">
        <v>3</v>
      </c>
      <c r="B4" s="24" t="s">
        <v>14</v>
      </c>
      <c r="C4" s="24" t="s">
        <v>15</v>
      </c>
      <c r="D4" s="24" t="s">
        <v>16</v>
      </c>
      <c r="E4" s="24" t="s">
        <v>17</v>
      </c>
      <c r="F4" s="24" t="s">
        <v>18</v>
      </c>
      <c r="G4" s="24" t="s">
        <v>19</v>
      </c>
      <c r="H4" s="24" t="s">
        <v>4</v>
      </c>
    </row>
    <row r="5" spans="1:8" ht="50.25" customHeight="1">
      <c r="A5" s="25" t="str">
        <f>"[DangNhap - " &amp; TEXT(ROW(A1), "00") &amp; "]"</f>
        <v>[DangNhap - 01]</v>
      </c>
      <c r="B5" s="26" t="s">
        <v>23</v>
      </c>
      <c r="C5" s="26" t="s">
        <v>7</v>
      </c>
      <c r="D5" s="20" t="s">
        <v>43</v>
      </c>
      <c r="E5" s="20" t="s">
        <v>49</v>
      </c>
      <c r="F5" s="20" t="s">
        <v>49</v>
      </c>
      <c r="G5" s="25" t="s">
        <v>11</v>
      </c>
      <c r="H5" s="27" t="s">
        <v>20</v>
      </c>
    </row>
    <row r="6" spans="1:8" ht="50">
      <c r="A6" s="25" t="str">
        <f t="shared" ref="A6:A9" si="0">"[DangNhap - " &amp; TEXT(ROW(A2), "00") &amp; "]"</f>
        <v>[DangNhap - 02]</v>
      </c>
      <c r="B6" s="28" t="s">
        <v>24</v>
      </c>
      <c r="C6" s="26" t="s">
        <v>7</v>
      </c>
      <c r="D6" s="20" t="s">
        <v>44</v>
      </c>
      <c r="E6" s="20" t="s">
        <v>49</v>
      </c>
      <c r="F6" s="20" t="s">
        <v>49</v>
      </c>
      <c r="G6" s="25" t="s">
        <v>11</v>
      </c>
      <c r="H6" s="27" t="s">
        <v>20</v>
      </c>
    </row>
    <row r="7" spans="1:8" ht="50">
      <c r="A7" s="25" t="str">
        <f t="shared" si="0"/>
        <v>[DangNhap - 03]</v>
      </c>
      <c r="B7" s="29" t="s">
        <v>21</v>
      </c>
      <c r="C7" s="26" t="s">
        <v>7</v>
      </c>
      <c r="D7" s="20" t="s">
        <v>42</v>
      </c>
      <c r="E7" s="20" t="s">
        <v>50</v>
      </c>
      <c r="F7" s="20" t="s">
        <v>50</v>
      </c>
      <c r="G7" s="25" t="s">
        <v>11</v>
      </c>
      <c r="H7" s="27" t="s">
        <v>20</v>
      </c>
    </row>
    <row r="8" spans="1:8" ht="50">
      <c r="A8" s="25" t="str">
        <f t="shared" si="0"/>
        <v>[DangNhap - 04]</v>
      </c>
      <c r="B8" s="26" t="s">
        <v>22</v>
      </c>
      <c r="C8" s="26" t="s">
        <v>7</v>
      </c>
      <c r="D8" s="20" t="s">
        <v>45</v>
      </c>
      <c r="E8" s="20" t="s">
        <v>50</v>
      </c>
      <c r="F8" s="20" t="s">
        <v>50</v>
      </c>
      <c r="G8" s="25" t="s">
        <v>11</v>
      </c>
      <c r="H8" s="27" t="s">
        <v>20</v>
      </c>
    </row>
    <row r="9" spans="1:8" ht="50">
      <c r="A9" s="25" t="str">
        <f t="shared" si="0"/>
        <v>[DangNhap - 05]</v>
      </c>
      <c r="B9" s="29" t="s">
        <v>25</v>
      </c>
      <c r="C9" s="26" t="s">
        <v>7</v>
      </c>
      <c r="D9" s="20" t="s">
        <v>46</v>
      </c>
      <c r="E9" s="20" t="s">
        <v>51</v>
      </c>
      <c r="F9" s="20" t="s">
        <v>52</v>
      </c>
      <c r="G9" s="25" t="s">
        <v>11</v>
      </c>
      <c r="H9" s="27" t="s">
        <v>20</v>
      </c>
    </row>
    <row r="10" spans="1:8">
      <c r="A10" s="14"/>
      <c r="B10" s="8"/>
      <c r="C10" s="8"/>
      <c r="D10" s="8"/>
      <c r="E10" s="12"/>
      <c r="F10" s="12"/>
      <c r="G10" s="13"/>
      <c r="H10" s="13"/>
    </row>
    <row r="11" spans="1:8">
      <c r="A11" s="14"/>
      <c r="E11" s="12"/>
      <c r="F11" s="12"/>
    </row>
  </sheetData>
  <sheetProtection selectLockedCells="1" selectUnlockedCells="1"/>
  <dataValidations count="1">
    <dataValidation type="list" allowBlank="1" showInputMessage="1" showErrorMessage="1" sqref="G5:G9" xr:uid="{1B57CD1F-9A78-40BC-81BE-C5AF03C09E7D}">
      <formula1>"Pass,Fail"</formula1>
    </dataValidation>
  </dataValidations>
  <hyperlinks>
    <hyperlink ref="B1" location="BugList!A1" display="To Buglist" xr:uid="{00000000-0004-0000-0000-000001000000}"/>
    <hyperlink ref="A1" r:id="rId1" xr:uid="{00000000-0004-0000-0000-000000000000}"/>
  </hyperlink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2"/>
  <headerFooter alignWithMargins="0">
    <oddHeader>&amp;C&amp;"Times New Roman,Chuẩn"&amp;12&amp;A</oddHeader>
    <oddFooter>&amp;C&amp;"Times New Roman,Chuẩn"&amp;12Trang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83A7-E3CF-42CA-A136-CBA0E91CF224}">
  <dimension ref="A1:I13"/>
  <sheetViews>
    <sheetView zoomScaleNormal="100" workbookViewId="0">
      <selection activeCell="A4" sqref="A4:E12"/>
    </sheetView>
  </sheetViews>
  <sheetFormatPr defaultColWidth="9" defaultRowHeight="10"/>
  <cols>
    <col min="1" max="1" width="12" style="1" customWidth="1"/>
    <col min="2" max="2" width="18.54296875" style="1" bestFit="1" customWidth="1"/>
    <col min="3" max="3" width="18" style="1" customWidth="1"/>
    <col min="4" max="4" width="40.36328125" style="1" customWidth="1"/>
    <col min="5" max="6" width="30.36328125" style="1" customWidth="1"/>
    <col min="7" max="7" width="9.6328125" style="1" customWidth="1"/>
    <col min="8" max="8" width="7.90625" style="1" customWidth="1"/>
    <col min="9" max="9" width="10.54296875" style="1" customWidth="1"/>
    <col min="10" max="16384" width="9" style="1"/>
  </cols>
  <sheetData>
    <row r="1" spans="1:9" ht="14.5">
      <c r="A1" s="19" t="s">
        <v>28</v>
      </c>
      <c r="B1" s="4" t="s">
        <v>0</v>
      </c>
      <c r="C1" s="4"/>
      <c r="D1" s="5" t="str">
        <f>"Pass: "&amp;COUNTIF(G5:G12,"Pass")</f>
        <v>Pass: 7</v>
      </c>
      <c r="E1" s="6" t="e">
        <f>"Untested: "&amp;COUNTIF(#REF!,"Untest")</f>
        <v>#REF!</v>
      </c>
      <c r="F1" s="7"/>
      <c r="G1" s="7"/>
      <c r="H1" s="13"/>
    </row>
    <row r="2" spans="1:9">
      <c r="A2" s="9" t="s">
        <v>1</v>
      </c>
      <c r="B2" s="10" t="s">
        <v>5</v>
      </c>
      <c r="C2" s="10"/>
      <c r="D2" s="5" t="str">
        <f>"Fail: "&amp;COUNTIF(G5:G12,"Fail")</f>
        <v>Fail: 1</v>
      </c>
      <c r="E2" s="6" t="e">
        <f>"N/A: "&amp;COUNTIF(#REF!,"N/A")</f>
        <v>#REF!</v>
      </c>
      <c r="F2" s="7"/>
      <c r="G2" s="7"/>
      <c r="H2" s="13"/>
    </row>
    <row r="3" spans="1:9" ht="12.75" customHeight="1">
      <c r="A3" s="21" t="s">
        <v>2</v>
      </c>
      <c r="B3" s="21" t="s">
        <v>6</v>
      </c>
      <c r="C3" s="21"/>
      <c r="D3" s="22" t="e">
        <f>"Percent Complete: "&amp;ROUND((COUNTIF(#REF!,"Pass")*100)/((COUNTA($A$5:$A$959)*5)-COUNTIF(#REF!,"N/A")),2)&amp;"%"</f>
        <v>#REF!</v>
      </c>
      <c r="E3" s="23" t="str">
        <f>"Number of cases: "&amp;(COUNTA($A$5:$A$959))</f>
        <v>Number of cases: 8</v>
      </c>
      <c r="F3" s="11"/>
      <c r="G3" s="11"/>
      <c r="H3" s="13"/>
    </row>
    <row r="4" spans="1:9" ht="28.4" customHeight="1">
      <c r="A4" s="24" t="s">
        <v>3</v>
      </c>
      <c r="B4" s="24" t="s">
        <v>14</v>
      </c>
      <c r="C4" s="24" t="s">
        <v>15</v>
      </c>
      <c r="D4" s="24" t="s">
        <v>16</v>
      </c>
      <c r="E4" s="32" t="s">
        <v>39</v>
      </c>
      <c r="F4" s="32" t="s">
        <v>40</v>
      </c>
      <c r="G4" s="24" t="s">
        <v>19</v>
      </c>
      <c r="H4" s="24" t="s">
        <v>4</v>
      </c>
      <c r="I4" s="30" t="s">
        <v>41</v>
      </c>
    </row>
    <row r="5" spans="1:9" s="2" customFormat="1" ht="60">
      <c r="A5" s="20" t="str">
        <f>"[DangKy - " &amp; TEXT(ROW(A1),"00") &amp; "]"</f>
        <v>[DangKy - 01]</v>
      </c>
      <c r="B5" s="20" t="s">
        <v>47</v>
      </c>
      <c r="C5" s="33" t="s">
        <v>8</v>
      </c>
      <c r="D5" s="20" t="s">
        <v>48</v>
      </c>
      <c r="E5" s="20" t="s">
        <v>53</v>
      </c>
      <c r="F5" s="20" t="s">
        <v>53</v>
      </c>
      <c r="G5" s="20" t="s">
        <v>11</v>
      </c>
      <c r="H5" s="28" t="s">
        <v>20</v>
      </c>
    </row>
    <row r="6" spans="1:9" ht="60">
      <c r="A6" s="20" t="str">
        <f t="shared" ref="A6:A12" si="0">"[DangKy - " &amp; TEXT(ROW(A2),"00") &amp; "]"</f>
        <v>[DangKy - 02]</v>
      </c>
      <c r="B6" s="26" t="s">
        <v>26</v>
      </c>
      <c r="C6" s="33" t="s">
        <v>8</v>
      </c>
      <c r="D6" s="20" t="s">
        <v>55</v>
      </c>
      <c r="E6" s="20" t="s">
        <v>54</v>
      </c>
      <c r="F6" s="20" t="s">
        <v>54</v>
      </c>
      <c r="G6" s="20" t="s">
        <v>11</v>
      </c>
      <c r="H6" s="28" t="s">
        <v>20</v>
      </c>
    </row>
    <row r="7" spans="1:9" ht="60">
      <c r="A7" s="20" t="str">
        <f t="shared" si="0"/>
        <v>[DangKy - 03]</v>
      </c>
      <c r="B7" s="26" t="s">
        <v>27</v>
      </c>
      <c r="C7" s="33" t="s">
        <v>8</v>
      </c>
      <c r="D7" s="20" t="s">
        <v>56</v>
      </c>
      <c r="E7" s="20" t="s">
        <v>54</v>
      </c>
      <c r="F7" s="20" t="s">
        <v>54</v>
      </c>
      <c r="G7" s="20" t="s">
        <v>11</v>
      </c>
      <c r="H7" s="28" t="s">
        <v>20</v>
      </c>
    </row>
    <row r="8" spans="1:9" ht="60">
      <c r="A8" s="20" t="str">
        <f t="shared" si="0"/>
        <v>[DangKy - 04]</v>
      </c>
      <c r="B8" s="26" t="s">
        <v>58</v>
      </c>
      <c r="C8" s="33" t="s">
        <v>8</v>
      </c>
      <c r="D8" s="20" t="s">
        <v>57</v>
      </c>
      <c r="E8" s="20" t="s">
        <v>54</v>
      </c>
      <c r="F8" s="20" t="s">
        <v>54</v>
      </c>
      <c r="G8" s="20" t="s">
        <v>11</v>
      </c>
      <c r="H8" s="28" t="s">
        <v>20</v>
      </c>
    </row>
    <row r="9" spans="1:9" ht="60">
      <c r="A9" s="20" t="str">
        <f t="shared" si="0"/>
        <v>[DangKy - 05]</v>
      </c>
      <c r="B9" s="26" t="s">
        <v>59</v>
      </c>
      <c r="C9" s="33" t="s">
        <v>8</v>
      </c>
      <c r="D9" s="20" t="s">
        <v>60</v>
      </c>
      <c r="E9" s="20" t="s">
        <v>61</v>
      </c>
      <c r="F9" s="20" t="s">
        <v>61</v>
      </c>
      <c r="G9" s="20" t="s">
        <v>11</v>
      </c>
      <c r="H9" s="28" t="s">
        <v>20</v>
      </c>
      <c r="I9" s="16"/>
    </row>
    <row r="10" spans="1:9" ht="60">
      <c r="A10" s="20" t="str">
        <f t="shared" si="0"/>
        <v>[DangKy - 06]</v>
      </c>
      <c r="B10" s="26" t="s">
        <v>62</v>
      </c>
      <c r="C10" s="33" t="s">
        <v>8</v>
      </c>
      <c r="D10" s="20" t="s">
        <v>63</v>
      </c>
      <c r="E10" s="20" t="s">
        <v>61</v>
      </c>
      <c r="F10" s="20" t="s">
        <v>61</v>
      </c>
      <c r="G10" s="20" t="s">
        <v>11</v>
      </c>
      <c r="H10" s="28" t="s">
        <v>20</v>
      </c>
      <c r="I10" s="16"/>
    </row>
    <row r="11" spans="1:9" ht="60">
      <c r="A11" s="20" t="str">
        <f t="shared" si="0"/>
        <v>[DangKy - 07]</v>
      </c>
      <c r="B11" s="26" t="s">
        <v>64</v>
      </c>
      <c r="C11" s="33" t="s">
        <v>8</v>
      </c>
      <c r="D11" s="20" t="s">
        <v>65</v>
      </c>
      <c r="E11" s="20" t="s">
        <v>66</v>
      </c>
      <c r="F11" s="20" t="s">
        <v>66</v>
      </c>
      <c r="G11" s="20" t="s">
        <v>11</v>
      </c>
      <c r="H11" s="28" t="s">
        <v>20</v>
      </c>
    </row>
    <row r="12" spans="1:9" ht="60">
      <c r="A12" s="20" t="str">
        <f t="shared" si="0"/>
        <v>[DangKy - 08]</v>
      </c>
      <c r="B12" s="20" t="s">
        <v>67</v>
      </c>
      <c r="C12" s="33" t="s">
        <v>8</v>
      </c>
      <c r="D12" s="20" t="s">
        <v>68</v>
      </c>
      <c r="E12" s="20" t="s">
        <v>69</v>
      </c>
      <c r="F12" s="20" t="s">
        <v>70</v>
      </c>
      <c r="G12" s="20" t="s">
        <v>12</v>
      </c>
      <c r="H12" s="28" t="s">
        <v>20</v>
      </c>
    </row>
    <row r="13" spans="1:9">
      <c r="A13" s="31"/>
    </row>
  </sheetData>
  <hyperlinks>
    <hyperlink ref="B1" location="BugList!A1" display="To Buglist" xr:uid="{B79BF084-50C5-49A5-A50F-92D6680D8D1C}"/>
    <hyperlink ref="A1" r:id="rId1" xr:uid="{3852A2AE-6ED2-4C3E-BA7A-5A6CF7C7E9F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0ACE-C4E2-45B8-904E-143A070037AD}">
  <dimension ref="A1:I15"/>
  <sheetViews>
    <sheetView zoomScaleNormal="100" workbookViewId="0">
      <selection activeCell="A4" sqref="A4:E10"/>
    </sheetView>
  </sheetViews>
  <sheetFormatPr defaultColWidth="9" defaultRowHeight="10"/>
  <cols>
    <col min="1" max="1" width="12.36328125" style="8" bestFit="1" customWidth="1"/>
    <col min="2" max="2" width="17.54296875" style="8" bestFit="1" customWidth="1"/>
    <col min="3" max="3" width="18" style="8" customWidth="1"/>
    <col min="4" max="4" width="40.1796875" style="8" bestFit="1" customWidth="1"/>
    <col min="5" max="6" width="30.36328125" style="8" customWidth="1"/>
    <col min="7" max="7" width="9.6328125" style="8" customWidth="1"/>
    <col min="8" max="8" width="6.54296875" style="8" customWidth="1"/>
    <col min="9" max="16384" width="9" style="8"/>
  </cols>
  <sheetData>
    <row r="1" spans="1:9" ht="14.5">
      <c r="A1" s="19" t="s">
        <v>28</v>
      </c>
      <c r="B1" s="4" t="s">
        <v>0</v>
      </c>
      <c r="C1" s="4"/>
      <c r="D1" s="5" t="str">
        <f>"Pass: "&amp;COUNTIF(G5:G15,"Pass")</f>
        <v>Pass: 6</v>
      </c>
      <c r="E1" s="6" t="e">
        <f>"Untested: "&amp;COUNTIF(#REF!,"Untest")</f>
        <v>#REF!</v>
      </c>
      <c r="F1" s="7"/>
      <c r="G1" s="7"/>
    </row>
    <row r="2" spans="1:9">
      <c r="A2" s="9" t="s">
        <v>1</v>
      </c>
      <c r="B2" s="10" t="s">
        <v>5</v>
      </c>
      <c r="C2" s="10"/>
      <c r="D2" s="5" t="str">
        <f>"Fail: "&amp;COUNTIF(G5:G15,"Fail")</f>
        <v>Fail: 0</v>
      </c>
      <c r="E2" s="6" t="e">
        <f>"N/A: "&amp;COUNTIF(#REF!,"N/A")</f>
        <v>#REF!</v>
      </c>
      <c r="F2" s="7"/>
      <c r="G2" s="7"/>
    </row>
    <row r="3" spans="1:9" ht="12.75" customHeight="1">
      <c r="A3" s="21" t="s">
        <v>2</v>
      </c>
      <c r="B3" s="21" t="s">
        <v>6</v>
      </c>
      <c r="C3" s="21"/>
      <c r="D3" s="22" t="e">
        <f>"Percent Complete: "&amp;ROUND((COUNTIF(#REF!,"Pass")*100)/((COUNTA($A$5:$A$965)*5)-COUNTIF(#REF!,"N/A")),2)&amp;"%"</f>
        <v>#REF!</v>
      </c>
      <c r="E3" s="23" t="str">
        <f>"Number of cases: "&amp;(COUNTA($A$5:$A$965))</f>
        <v>Number of cases: 6</v>
      </c>
      <c r="F3" s="11"/>
      <c r="G3" s="11"/>
    </row>
    <row r="4" spans="1:9" ht="28.4" customHeight="1">
      <c r="A4" s="24" t="s">
        <v>3</v>
      </c>
      <c r="B4" s="24" t="s">
        <v>31</v>
      </c>
      <c r="C4" s="24" t="s">
        <v>15</v>
      </c>
      <c r="D4" s="24" t="s">
        <v>16</v>
      </c>
      <c r="E4" s="24" t="s">
        <v>17</v>
      </c>
      <c r="F4" s="24" t="s">
        <v>18</v>
      </c>
      <c r="G4" s="24" t="s">
        <v>19</v>
      </c>
      <c r="H4" s="24" t="s">
        <v>4</v>
      </c>
      <c r="I4" s="30" t="s">
        <v>41</v>
      </c>
    </row>
    <row r="5" spans="1:9" s="15" customFormat="1" ht="50">
      <c r="A5" s="20" t="str">
        <f>"[TimKiemSP - " &amp; TEXT(ROW(A1),"00") &amp; "]"</f>
        <v>[TimKiemSP - 01]</v>
      </c>
      <c r="B5" s="29" t="s">
        <v>29</v>
      </c>
      <c r="C5" s="33" t="s">
        <v>9</v>
      </c>
      <c r="D5" s="20" t="s">
        <v>71</v>
      </c>
      <c r="E5" s="20" t="s">
        <v>72</v>
      </c>
      <c r="F5" s="20" t="s">
        <v>72</v>
      </c>
      <c r="G5" s="20" t="s">
        <v>11</v>
      </c>
      <c r="H5" s="35" t="s">
        <v>20</v>
      </c>
    </row>
    <row r="6" spans="1:9" ht="50">
      <c r="A6" s="20" t="str">
        <f t="shared" ref="A6:A10" si="0">"[TimKiemSP - " &amp; TEXT(ROW(A2),"00") &amp; "]"</f>
        <v>[TimKiemSP - 02]</v>
      </c>
      <c r="B6" s="29" t="s">
        <v>73</v>
      </c>
      <c r="C6" s="33" t="s">
        <v>9</v>
      </c>
      <c r="D6" s="20" t="s">
        <v>74</v>
      </c>
      <c r="E6" s="20" t="s">
        <v>75</v>
      </c>
      <c r="F6" s="20" t="s">
        <v>75</v>
      </c>
      <c r="G6" s="20" t="s">
        <v>11</v>
      </c>
      <c r="H6" s="35" t="s">
        <v>20</v>
      </c>
    </row>
    <row r="7" spans="1:9" ht="60">
      <c r="A7" s="20" t="str">
        <f t="shared" si="0"/>
        <v>[TimKiemSP - 03]</v>
      </c>
      <c r="B7" s="29" t="s">
        <v>76</v>
      </c>
      <c r="C7" s="33" t="s">
        <v>9</v>
      </c>
      <c r="D7" s="20" t="s">
        <v>77</v>
      </c>
      <c r="E7" s="20" t="s">
        <v>78</v>
      </c>
      <c r="F7" s="20" t="s">
        <v>78</v>
      </c>
      <c r="G7" s="20" t="s">
        <v>11</v>
      </c>
      <c r="H7" s="35" t="s">
        <v>20</v>
      </c>
      <c r="I7" s="17"/>
    </row>
    <row r="8" spans="1:9" ht="50">
      <c r="A8" s="20" t="str">
        <f>"[TimKiemSP - " &amp; TEXT(ROW(C4),"00") &amp; "]"</f>
        <v>[TimKiemSP - 04]</v>
      </c>
      <c r="B8" s="29" t="s">
        <v>30</v>
      </c>
      <c r="C8" s="33" t="s">
        <v>9</v>
      </c>
      <c r="D8" s="20" t="s">
        <v>79</v>
      </c>
      <c r="E8" s="20" t="s">
        <v>80</v>
      </c>
      <c r="F8" s="20" t="s">
        <v>80</v>
      </c>
      <c r="G8" s="20" t="s">
        <v>11</v>
      </c>
      <c r="H8" s="35" t="s">
        <v>20</v>
      </c>
      <c r="I8" s="18"/>
    </row>
    <row r="9" spans="1:9" ht="50">
      <c r="A9" s="20" t="str">
        <f t="shared" si="0"/>
        <v>[TimKiemSP - 05]</v>
      </c>
      <c r="B9" s="29" t="s">
        <v>81</v>
      </c>
      <c r="C9" s="33" t="s">
        <v>9</v>
      </c>
      <c r="D9" s="20" t="s">
        <v>82</v>
      </c>
      <c r="E9" s="20" t="s">
        <v>83</v>
      </c>
      <c r="F9" s="20" t="s">
        <v>83</v>
      </c>
      <c r="G9" s="29" t="s">
        <v>11</v>
      </c>
      <c r="H9" s="35" t="s">
        <v>20</v>
      </c>
      <c r="I9" s="17"/>
    </row>
    <row r="10" spans="1:9" ht="50">
      <c r="A10" s="20" t="str">
        <f t="shared" si="0"/>
        <v>[TimKiemSP - 06]</v>
      </c>
      <c r="B10" s="29" t="s">
        <v>84</v>
      </c>
      <c r="C10" s="33" t="s">
        <v>9</v>
      </c>
      <c r="D10" s="20" t="s">
        <v>85</v>
      </c>
      <c r="E10" s="20" t="s">
        <v>86</v>
      </c>
      <c r="F10" s="20" t="s">
        <v>86</v>
      </c>
      <c r="G10" s="29" t="s">
        <v>11</v>
      </c>
      <c r="H10" s="35" t="s">
        <v>20</v>
      </c>
    </row>
    <row r="11" spans="1:9">
      <c r="D11" s="12"/>
    </row>
    <row r="12" spans="1:9">
      <c r="D12" s="12"/>
    </row>
    <row r="13" spans="1:9">
      <c r="D13" s="12"/>
    </row>
    <row r="14" spans="1:9">
      <c r="D14" s="12"/>
    </row>
    <row r="15" spans="1:9">
      <c r="D15" s="12"/>
    </row>
  </sheetData>
  <dataValidations count="1">
    <dataValidation type="list" allowBlank="1" showInputMessage="1" showErrorMessage="1" sqref="G11:G15" xr:uid="{10B3385E-4436-4BD0-BDA7-E6AD439E7BF3}">
      <formula1>"Pass, Fail"</formula1>
    </dataValidation>
  </dataValidations>
  <hyperlinks>
    <hyperlink ref="B1" location="BugList!A1" display="To Buglist" xr:uid="{A3098D32-72C9-414E-B33D-6C5E10FF3F93}"/>
    <hyperlink ref="A1" r:id="rId1" xr:uid="{1DF8E205-72D0-4EB4-9C5F-E82C8CAB5001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25E9-734E-4BB9-B6DD-ADDDAEBE5EA0}">
  <dimension ref="A1:I10"/>
  <sheetViews>
    <sheetView zoomScale="88" zoomScaleNormal="100" workbookViewId="0">
      <selection activeCell="A4" sqref="A4:E9"/>
    </sheetView>
  </sheetViews>
  <sheetFormatPr defaultRowHeight="13"/>
  <cols>
    <col min="1" max="1" width="15.26953125" bestFit="1" customWidth="1"/>
    <col min="2" max="2" width="20.453125" customWidth="1"/>
    <col min="3" max="3" width="16.453125" customWidth="1"/>
    <col min="4" max="4" width="36.453125" customWidth="1"/>
    <col min="5" max="5" width="23.6328125" customWidth="1"/>
    <col min="6" max="6" width="32.81640625" customWidth="1"/>
    <col min="8" max="8" width="4.453125" bestFit="1" customWidth="1"/>
    <col min="9" max="9" width="9.7265625" customWidth="1"/>
  </cols>
  <sheetData>
    <row r="1" spans="1:9" ht="14.5">
      <c r="A1" s="19" t="s">
        <v>28</v>
      </c>
      <c r="B1" s="4" t="s">
        <v>0</v>
      </c>
      <c r="C1" s="4"/>
      <c r="D1" s="5" t="str">
        <f>"Pass: "&amp;COUNTIF(G5:G9,"Pass")</f>
        <v>Pass: 4</v>
      </c>
      <c r="E1" s="6" t="e">
        <f>"Untested: "&amp;COUNTIF(#REF!,"Untest")</f>
        <v>#REF!</v>
      </c>
      <c r="F1" s="7"/>
      <c r="G1" s="7"/>
      <c r="H1" s="8"/>
    </row>
    <row r="2" spans="1:9">
      <c r="A2" s="9" t="s">
        <v>1</v>
      </c>
      <c r="B2" s="10" t="s">
        <v>5</v>
      </c>
      <c r="C2" s="10"/>
      <c r="D2" s="5" t="str">
        <f>"Fail: "&amp;COUNTIF(G5:G9,"Fail")</f>
        <v>Fail: 1</v>
      </c>
      <c r="E2" s="6" t="e">
        <f>"N/A: "&amp;COUNTIF(#REF!,"N/A")</f>
        <v>#REF!</v>
      </c>
      <c r="F2" s="7"/>
      <c r="G2" s="7"/>
      <c r="H2" s="8"/>
    </row>
    <row r="3" spans="1:9">
      <c r="A3" s="21" t="s">
        <v>2</v>
      </c>
      <c r="B3" s="21" t="s">
        <v>6</v>
      </c>
      <c r="C3" s="21"/>
      <c r="D3" s="22" t="e">
        <f>"Percent Complete: "&amp;ROUND((COUNTIF(#REF!,"Pass")*100)/((COUNTA($A$5:$A$958)*5)-COUNTIF(#REF!,"N/A")),2)&amp;"%"</f>
        <v>#REF!</v>
      </c>
      <c r="E3" s="23" t="str">
        <f>"Number of cases: "&amp;(COUNTA($A$5:$A$958))</f>
        <v>Number of cases: 5</v>
      </c>
      <c r="F3" s="11"/>
      <c r="G3" s="11"/>
      <c r="H3" s="8"/>
    </row>
    <row r="4" spans="1:9" ht="36.5" customHeight="1">
      <c r="A4" s="24" t="s">
        <v>3</v>
      </c>
      <c r="B4" s="24" t="s">
        <v>31</v>
      </c>
      <c r="C4" s="24" t="s">
        <v>15</v>
      </c>
      <c r="D4" s="24" t="s">
        <v>16</v>
      </c>
      <c r="E4" s="24" t="s">
        <v>17</v>
      </c>
      <c r="F4" s="24" t="s">
        <v>18</v>
      </c>
      <c r="G4" s="24" t="s">
        <v>19</v>
      </c>
      <c r="H4" s="24" t="s">
        <v>4</v>
      </c>
      <c r="I4" s="24" t="s">
        <v>41</v>
      </c>
    </row>
    <row r="5" spans="1:9" ht="100">
      <c r="A5" s="20" t="str">
        <f>"[ThanhToan - " &amp; TEXT(ROW(A1),"00") &amp; "]"</f>
        <v>[ThanhToan - 01]</v>
      </c>
      <c r="B5" s="20" t="s">
        <v>34</v>
      </c>
      <c r="C5" s="33" t="s">
        <v>10</v>
      </c>
      <c r="D5" s="20" t="s">
        <v>89</v>
      </c>
      <c r="E5" s="20" t="s">
        <v>90</v>
      </c>
      <c r="F5" s="20" t="s">
        <v>90</v>
      </c>
      <c r="G5" s="20" t="s">
        <v>11</v>
      </c>
      <c r="H5" s="20" t="s">
        <v>20</v>
      </c>
      <c r="I5" s="36"/>
    </row>
    <row r="6" spans="1:9" ht="100">
      <c r="A6" s="20" t="str">
        <f t="shared" ref="A6:A9" si="0">"[ThanhToan - " &amp; TEXT(ROW(A2),"00") &amp; "]"</f>
        <v>[ThanhToan - 02]</v>
      </c>
      <c r="B6" s="20" t="s">
        <v>32</v>
      </c>
      <c r="C6" s="33" t="s">
        <v>10</v>
      </c>
      <c r="D6" s="20" t="s">
        <v>91</v>
      </c>
      <c r="E6" s="20" t="s">
        <v>92</v>
      </c>
      <c r="F6" s="20" t="s">
        <v>92</v>
      </c>
      <c r="G6" s="20" t="s">
        <v>11</v>
      </c>
      <c r="H6" s="20" t="s">
        <v>20</v>
      </c>
      <c r="I6" s="36"/>
    </row>
    <row r="7" spans="1:9" ht="100">
      <c r="A7" s="20" t="str">
        <f t="shared" si="0"/>
        <v>[ThanhToan - 03]</v>
      </c>
      <c r="B7" s="20" t="s">
        <v>33</v>
      </c>
      <c r="C7" s="33" t="s">
        <v>10</v>
      </c>
      <c r="D7" s="20" t="s">
        <v>93</v>
      </c>
      <c r="E7" s="20" t="s">
        <v>92</v>
      </c>
      <c r="F7" s="20" t="s">
        <v>92</v>
      </c>
      <c r="G7" s="20" t="s">
        <v>11</v>
      </c>
      <c r="H7" s="20" t="s">
        <v>20</v>
      </c>
      <c r="I7" s="36"/>
    </row>
    <row r="8" spans="1:9" ht="100">
      <c r="A8" s="20" t="str">
        <f t="shared" si="0"/>
        <v>[ThanhToan - 04]</v>
      </c>
      <c r="B8" s="20" t="s">
        <v>88</v>
      </c>
      <c r="C8" s="33" t="s">
        <v>10</v>
      </c>
      <c r="D8" s="20" t="s">
        <v>94</v>
      </c>
      <c r="E8" s="20" t="s">
        <v>95</v>
      </c>
      <c r="F8" s="20" t="s">
        <v>90</v>
      </c>
      <c r="G8" s="34" t="s">
        <v>12</v>
      </c>
      <c r="H8" s="20" t="s">
        <v>20</v>
      </c>
      <c r="I8" s="36"/>
    </row>
    <row r="9" spans="1:9" ht="100">
      <c r="A9" s="20" t="str">
        <f t="shared" si="0"/>
        <v>[ThanhToan - 05]</v>
      </c>
      <c r="B9" s="20" t="s">
        <v>87</v>
      </c>
      <c r="C9" s="33" t="s">
        <v>10</v>
      </c>
      <c r="D9" s="20" t="s">
        <v>89</v>
      </c>
      <c r="E9" s="20" t="s">
        <v>95</v>
      </c>
      <c r="F9" s="20" t="s">
        <v>95</v>
      </c>
      <c r="G9" s="20" t="s">
        <v>11</v>
      </c>
      <c r="H9" s="20" t="s">
        <v>20</v>
      </c>
      <c r="I9" s="36"/>
    </row>
    <row r="10" spans="1:9">
      <c r="B10" s="31"/>
    </row>
  </sheetData>
  <hyperlinks>
    <hyperlink ref="B1" location="BugList!A1" display="To Buglist" xr:uid="{07606E3B-9B4E-48B7-85EB-5B0C6571987F}"/>
    <hyperlink ref="A1" r:id="rId1" xr:uid="{8E4886B0-4173-410D-9DE8-436F22B7FC57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45F8-44BD-40EB-BEFA-56F152ECC625}">
  <dimension ref="A1:I11"/>
  <sheetViews>
    <sheetView tabSelected="1" topLeftCell="A6" zoomScale="84" workbookViewId="0">
      <selection activeCell="F8" sqref="F8"/>
    </sheetView>
  </sheetViews>
  <sheetFormatPr defaultRowHeight="13"/>
  <cols>
    <col min="1" max="1" width="14" bestFit="1" customWidth="1"/>
    <col min="2" max="2" width="14.08984375" customWidth="1"/>
    <col min="3" max="3" width="20" customWidth="1"/>
    <col min="4" max="4" width="30.7265625" customWidth="1"/>
    <col min="5" max="5" width="28.1796875" customWidth="1"/>
    <col min="6" max="6" width="19.453125" customWidth="1"/>
    <col min="8" max="8" width="5.90625" customWidth="1"/>
  </cols>
  <sheetData>
    <row r="1" spans="1:9" ht="14.5">
      <c r="A1" s="19" t="s">
        <v>28</v>
      </c>
      <c r="B1" s="4" t="s">
        <v>0</v>
      </c>
      <c r="C1" s="4"/>
      <c r="D1" s="5" t="str">
        <f>"Pass: "&amp;COUNTIF(G5:G10,"Pass")</f>
        <v>Pass: 4</v>
      </c>
      <c r="E1" s="6" t="e">
        <f>"Untested: "&amp;COUNTIF(#REF!,"Untest")</f>
        <v>#REF!</v>
      </c>
      <c r="F1" s="7"/>
      <c r="G1" s="7"/>
      <c r="H1" s="8"/>
    </row>
    <row r="2" spans="1:9">
      <c r="A2" s="9" t="s">
        <v>1</v>
      </c>
      <c r="B2" s="10" t="s">
        <v>5</v>
      </c>
      <c r="C2" s="10"/>
      <c r="D2" s="5" t="str">
        <f>"Fail: "&amp;COUNTIF(G5:G10,"Fail")</f>
        <v>Fail: 2</v>
      </c>
      <c r="E2" s="6" t="e">
        <f>"N/A: "&amp;COUNTIF(#REF!,"N/A")</f>
        <v>#REF!</v>
      </c>
      <c r="F2" s="7"/>
      <c r="G2" s="7"/>
      <c r="H2" s="8"/>
    </row>
    <row r="3" spans="1:9">
      <c r="A3" s="21" t="s">
        <v>2</v>
      </c>
      <c r="B3" s="21" t="s">
        <v>6</v>
      </c>
      <c r="C3" s="21"/>
      <c r="D3" s="22" t="e">
        <f>"Percent Complete: "&amp;ROUND((COUNTIF(#REF!,"Pass")*100)/((COUNTA($A$5:$A$964)*5)-COUNTIF(#REF!,"N/A")),2)&amp;"%"</f>
        <v>#REF!</v>
      </c>
      <c r="E3" s="23" t="str">
        <f>"Number of cases: "&amp;(COUNTA($A$5:$A$964))</f>
        <v>Number of cases: 6</v>
      </c>
      <c r="F3" s="11"/>
      <c r="G3" s="11"/>
      <c r="H3" s="8"/>
    </row>
    <row r="4" spans="1:9" ht="20">
      <c r="A4" s="24" t="s">
        <v>3</v>
      </c>
      <c r="B4" s="24" t="s">
        <v>31</v>
      </c>
      <c r="C4" s="24" t="s">
        <v>15</v>
      </c>
      <c r="D4" s="24" t="s">
        <v>16</v>
      </c>
      <c r="E4" s="24" t="s">
        <v>17</v>
      </c>
      <c r="F4" s="24" t="s">
        <v>18</v>
      </c>
      <c r="G4" s="24" t="s">
        <v>19</v>
      </c>
      <c r="H4" s="24" t="s">
        <v>4</v>
      </c>
      <c r="I4" s="24" t="s">
        <v>41</v>
      </c>
    </row>
    <row r="5" spans="1:9" ht="80">
      <c r="A5" s="20" t="str">
        <f>"[ChangeProfile - " &amp; TEXT(ROW(A1),"00") &amp; "]"</f>
        <v>[ChangeProfile - 01]</v>
      </c>
      <c r="B5" s="20" t="s">
        <v>96</v>
      </c>
      <c r="C5" s="33" t="s">
        <v>13</v>
      </c>
      <c r="D5" s="20" t="s">
        <v>97</v>
      </c>
      <c r="E5" s="20" t="s">
        <v>98</v>
      </c>
      <c r="F5" s="20" t="s">
        <v>98</v>
      </c>
      <c r="G5" s="20" t="s">
        <v>11</v>
      </c>
      <c r="H5" s="20" t="s">
        <v>20</v>
      </c>
      <c r="I5" s="37"/>
    </row>
    <row r="6" spans="1:9" ht="80">
      <c r="A6" s="20" t="str">
        <f t="shared" ref="A6:A10" si="0">"[ChangeProfile - " &amp; TEXT(ROW(A2),"00") &amp; "]"</f>
        <v>[ChangeProfile - 02]</v>
      </c>
      <c r="B6" s="20" t="s">
        <v>36</v>
      </c>
      <c r="C6" s="33" t="s">
        <v>13</v>
      </c>
      <c r="D6" s="20" t="s">
        <v>99</v>
      </c>
      <c r="E6" s="20" t="s">
        <v>38</v>
      </c>
      <c r="F6" s="20" t="s">
        <v>35</v>
      </c>
      <c r="G6" s="20" t="s">
        <v>11</v>
      </c>
      <c r="H6" s="20" t="s">
        <v>20</v>
      </c>
      <c r="I6" s="37"/>
    </row>
    <row r="7" spans="1:9" ht="80">
      <c r="A7" s="20" t="str">
        <f t="shared" si="0"/>
        <v>[ChangeProfile - 03]</v>
      </c>
      <c r="B7" s="20" t="s">
        <v>37</v>
      </c>
      <c r="C7" s="33" t="s">
        <v>13</v>
      </c>
      <c r="D7" s="20" t="s">
        <v>100</v>
      </c>
      <c r="E7" s="20" t="s">
        <v>38</v>
      </c>
      <c r="F7" s="20" t="s">
        <v>35</v>
      </c>
      <c r="G7" s="20" t="s">
        <v>11</v>
      </c>
      <c r="H7" s="20" t="s">
        <v>20</v>
      </c>
      <c r="I7" s="37"/>
    </row>
    <row r="8" spans="1:9" ht="80">
      <c r="A8" s="20" t="str">
        <f t="shared" si="0"/>
        <v>[ChangeProfile - 04]</v>
      </c>
      <c r="B8" s="20" t="s">
        <v>101</v>
      </c>
      <c r="C8" s="33" t="s">
        <v>13</v>
      </c>
      <c r="D8" s="20" t="s">
        <v>102</v>
      </c>
      <c r="E8" s="20" t="s">
        <v>38</v>
      </c>
      <c r="F8" s="20" t="s">
        <v>35</v>
      </c>
      <c r="G8" s="20" t="s">
        <v>11</v>
      </c>
      <c r="H8" s="20" t="s">
        <v>20</v>
      </c>
      <c r="I8" s="37"/>
    </row>
    <row r="9" spans="1:9" ht="80">
      <c r="A9" s="20" t="str">
        <f t="shared" si="0"/>
        <v>[ChangeProfile - 05]</v>
      </c>
      <c r="B9" s="20" t="s">
        <v>103</v>
      </c>
      <c r="C9" s="33" t="s">
        <v>13</v>
      </c>
      <c r="D9" s="20" t="s">
        <v>105</v>
      </c>
      <c r="E9" s="20" t="s">
        <v>95</v>
      </c>
      <c r="F9" s="20" t="s">
        <v>35</v>
      </c>
      <c r="G9" s="20" t="s">
        <v>12</v>
      </c>
      <c r="H9" s="20" t="s">
        <v>20</v>
      </c>
      <c r="I9" s="38"/>
    </row>
    <row r="10" spans="1:9" ht="80">
      <c r="A10" s="20" t="str">
        <f t="shared" si="0"/>
        <v>[ChangeProfile - 06]</v>
      </c>
      <c r="B10" s="20" t="s">
        <v>104</v>
      </c>
      <c r="C10" s="33" t="s">
        <v>13</v>
      </c>
      <c r="D10" s="20" t="s">
        <v>106</v>
      </c>
      <c r="E10" s="20" t="s">
        <v>95</v>
      </c>
      <c r="F10" s="20" t="s">
        <v>35</v>
      </c>
      <c r="G10" s="20" t="s">
        <v>12</v>
      </c>
      <c r="H10" s="20" t="s">
        <v>20</v>
      </c>
      <c r="I10" s="38"/>
    </row>
    <row r="11" spans="1:9">
      <c r="A11" s="31"/>
      <c r="D11" s="12"/>
      <c r="G11" s="31"/>
      <c r="H11" s="31"/>
    </row>
  </sheetData>
  <hyperlinks>
    <hyperlink ref="B1" location="BugList!A1" display="To Buglist" xr:uid="{6F980733-6528-424B-B45A-75D8EB680571}"/>
    <hyperlink ref="A1" r:id="rId1" xr:uid="{79014417-D33A-48E5-ABCD-22679886FC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TC_DangNhap</vt:lpstr>
      <vt:lpstr>TC_DangKy</vt:lpstr>
      <vt:lpstr>TC_TimKiemSP</vt:lpstr>
      <vt:lpstr>TC_ThanhToan</vt:lpstr>
      <vt:lpstr>TC_SuaTT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Dell</cp:lastModifiedBy>
  <dcterms:created xsi:type="dcterms:W3CDTF">2024-05-03T07:38:53Z</dcterms:created>
  <dcterms:modified xsi:type="dcterms:W3CDTF">2026-05-11T18:30:47Z</dcterms:modified>
</cp:coreProperties>
</file>